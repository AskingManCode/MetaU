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eso Historias de Usuario" sheetId="1" state="visible" r:id="rId2"/>
  </sheets>
  <definedNames>
    <definedName name="solver_ver" localSheetId="0" hidden="1">3</definedName>
    <definedName name="solver_est" localSheetId="0" hidden="1">1</definedName>
    <definedName name="solver_nwt" localSheetId="0" hidden="1">1</definedName>
    <definedName name="solver_typ" localSheetId="0" hidden="1">1</definedName>
    <definedName name="solver_val" localSheetId="0" hidden="1">0</definedName>
    <definedName name="solver_neg" localSheetId="0" hidden="1">1</definedName>
    <definedName name="solver_eng" localSheetId="0" hidden="1">2</definedName>
    <definedName name="solver_pre" localSheetId="0" hidden="1">1</definedName>
    <definedName name="solver_scl" localSheetId="0" hidden="1">2</definedName>
    <definedName name="solver_tim" localSheetId="0" hidden="1">2147483647</definedName>
    <definedName name="solver_itr" localSheetId="0" hidden="1">2147483647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tc={04CB6911-E216-5FFA-A00E-331AF1FB8FD4}</author>
  </authors>
  <commentList>
    <comment ref="C4" authorId="0" xr:uid="{04CB6911-E216-5FFA-A00E-331AF1FB8FD4}">
      <text>
        <r>
          <rPr>
            <b/>
            <sz val="9"/>
            <rFont val="Tahoma"/>
          </rPr>
          <t>AskingMansOz:</t>
        </r>
        <r>
          <rPr>
            <sz val="9"/>
            <rFont val="Tahoma"/>
          </rPr>
          <t xml:space="preserve">
Mide la carga de trabajo del equipo con base en el promedio de puntos acumulados por los integrantes:
* Verde: Por debajo del promedio (menor carga).
* Amarillo: En el promedio exacto (carga equilibrada).
* Rojo: Por encima del promedio (sobrecarga de trabajo).
Lo ideal es que la carga de trabajo se mantengan cerca del promedio.
</t>
        </r>
      </text>
    </comment>
  </commentList>
</comments>
</file>

<file path=xl/sharedStrings.xml><?xml version="1.0" encoding="utf-8"?>
<sst xmlns="http://schemas.openxmlformats.org/spreadsheetml/2006/main" count="87" uniqueCount="87">
  <si>
    <t xml:space="preserve">Integrantes Proyecto</t>
  </si>
  <si>
    <t xml:space="preserve">Puntaje Obtenido</t>
  </si>
  <si>
    <t xml:space="preserve">Cantidad Historias de Usuario Asignadas</t>
  </si>
  <si>
    <t xml:space="preserve">Sebastián Jiménez Arrieta</t>
  </si>
  <si>
    <t xml:space="preserve">Brandon Guido Navarro</t>
  </si>
  <si>
    <t xml:space="preserve">Sebastián Obando</t>
  </si>
  <si>
    <t xml:space="preserve">Julián Solano Obando</t>
  </si>
  <si>
    <t xml:space="preserve">Anthony Gamboa Elizondo</t>
  </si>
  <si>
    <t>Total</t>
  </si>
  <si>
    <t>Modulo</t>
  </si>
  <si>
    <t>ID</t>
  </si>
  <si>
    <t xml:space="preserve">Historia de Usuario</t>
  </si>
  <si>
    <t xml:space="preserve">Resumen Historia de Usuario (Justificación Story Points)</t>
  </si>
  <si>
    <t xml:space="preserve">Story Points</t>
  </si>
  <si>
    <t xml:space="preserve">Asignado a</t>
  </si>
  <si>
    <t xml:space="preserve">Usuarios y roles</t>
  </si>
  <si>
    <t>USR1</t>
  </si>
  <si>
    <t xml:space="preserve">Servicio para Administrar Usuarios</t>
  </si>
  <si>
    <t xml:space="preserve">Sube del CRUD estándar. Son 6 operaciones (una extra con filtros por identificación, nombre y tipo) y reglas de negocio propias: el dominio del email (cuc.cr o cuc.ac.cr) define qué rol es válido, el email es la llave única, la contraseña se guarda encriptada y los tipos de identificación deben poder extenderse. Se debe implementar token y bitácora.</t>
  </si>
  <si>
    <t>USR2</t>
  </si>
  <si>
    <t xml:space="preserve">Servicio para Administrar Roles</t>
  </si>
  <si>
    <t xml:space="preserve">CRUD estándar. 5 operaciones sobre una entidad de 2 campos (identificador y nombre) con una sola validación (nombre solo letras y espacios), más token y bitácora.</t>
  </si>
  <si>
    <t>USR3</t>
  </si>
  <si>
    <t xml:space="preserve">Servicio para Administrar Parametrización</t>
  </si>
  <si>
    <t xml:space="preserve">CRUD estándar. 5 operaciones sobre 2 campos (identificador y valor) con validaciones de formato (identificador de máximo 10 letras mayúsculas, valor de máximo 500 caracteres), más token y bitácora. Otras HU consumen sus valores, pero ese costo va en cada HU consumidora. Se debe implementar token y bitácora.</t>
  </si>
  <si>
    <t>USR4</t>
  </si>
  <si>
    <t xml:space="preserve">Servicio para Administrar Módulos</t>
  </si>
  <si>
    <t xml:space="preserve">CRUD estándar. 5 operaciones sobre 2 campos (identificador y nombre), con validación de nombre solo letras y espacios, más token y bitácora.</t>
  </si>
  <si>
    <t>USR5</t>
  </si>
  <si>
    <t xml:space="preserve">Servicio para Login</t>
  </si>
  <si>
    <t xml:space="preserve">Login fijado en 5 por su complejidad base. 3 endpoints (/login, /refresh, /validate): /login verifica usuario y contraseña encriptada y responde 201 o 401, genera JWT y refresh token con expiración parametrizable; /refresh y /validate los consumen. Es crítico porque todas las demás HU validan su token contra /validate. Se debe implementar bitácora.</t>
  </si>
  <si>
    <t xml:space="preserve">Oferta acádecima</t>
  </si>
  <si>
    <t>ACD1</t>
  </si>
  <si>
    <t xml:space="preserve">Servicio para Administrar Instituciones</t>
  </si>
  <si>
    <t xml:space="preserve">CRUD estándar. 5 operaciones sobre 2 campos (identificador y nombre de la institución), con validación de nombre solo letras y espacios, más token y bitácora.</t>
  </si>
  <si>
    <t>ACD2</t>
  </si>
  <si>
    <t xml:space="preserve">Servicio para Administrar Carreras</t>
  </si>
  <si>
    <t xml:space="preserve">CRUD estándar de 4 campos (identificador, nombre, institución y director). Suma una consulta por institución y dos validaciones de existencia (la institución y que el director sea un profesor de ACD6), pero son lecturas, no lógica de negocio. Se debe implementar token y bitácora.</t>
  </si>
  <si>
    <t>ACD3</t>
  </si>
  <si>
    <t xml:space="preserve">Servicio para Administrar Cursos</t>
  </si>
  <si>
    <t xml:space="preserve">CRUD estándar de 4 campos con una operación extra (cursos por carrera, 6 en total). Valida que la carrera exista y que el nivel esté entre 1 y 12. Se debe implementar token y bitácora.</t>
  </si>
  <si>
    <t>ACD4</t>
  </si>
  <si>
    <t xml:space="preserve">Servicio para Administrar Grupos</t>
  </si>
  <si>
    <t xml:space="preserve">CRUD estándar de 7 campos con 3 relaciones (curso, profesor y periodo) más número, horario y cupo. Todo son validaciones de campo y de existencia; los criterios no piden reglas de negocio adicionales. Se debe implementar token y bitácora.</t>
  </si>
  <si>
    <t>ACD5</t>
  </si>
  <si>
    <t xml:space="preserve">Servicio para Administrar Periodos</t>
  </si>
  <si>
    <t xml:space="preserve">CRUD estándar de 5 operaciones sobre 4 campos (año, número de periodo, fecha de inicio y fecha de fin); los criterios solo exigen que sean obligatorios, más token y bitácora.</t>
  </si>
  <si>
    <t>ACD6</t>
  </si>
  <si>
    <t xml:space="preserve">Servicio para Administrar Profesores</t>
  </si>
  <si>
    <t xml:space="preserve">CRUD estándar de 6 campos. Suma validaciones de formato (nombre solo letras, mayor de edad, email del dominio parametrizable) y teléfonos múltiples, pero son validaciones de campo, no lógica de negocio. Se debe implementar token y bitácora. </t>
  </si>
  <si>
    <t>Matrícula</t>
  </si>
  <si>
    <t>MAT1</t>
  </si>
  <si>
    <t xml:space="preserve">Servicio para Administrar Pre-Matrícula</t>
  </si>
  <si>
    <t xml:space="preserve">CRUD estándar con encabezado (estudiante, carrera, periodo y observaciones opcionales) y lista de cursos. Las reglas (solo cursos de primer nivel y periodos futuros) son validaciones de lectura contra ACD3 y ACD5; no hay cálculos ni cambios de estado en otras entidades. Se debe implementar token y bitácora. </t>
  </si>
  <si>
    <t>MAT2</t>
  </si>
  <si>
    <t xml:space="preserve">Servicio para Administrar Matrícula</t>
  </si>
  <si>
    <t xml:space="preserve">Una operación menos que un CRUD (4: matricular, modificar, eliminar y consultar estudiantes por curso y grupo), pero contiene validaciones cruzadas: periodo activo y existencia de estudiante, curso y grupo. No calcula ni cambia estados en otras entidades. Se debe implementar token y bitácora. </t>
  </si>
  <si>
    <t>MAT3</t>
  </si>
  <si>
    <t xml:space="preserve">Servicio para Administrar Expedientes de Estudiantes</t>
  </si>
  <si>
    <t xml:space="preserve">CRUD estándar de 7 campos (identificación, tipo, email, nombre, fecha de nacimiento, dirección estructurada y teléfonos múltiples). Suma validaciones de formato (nombre solo letras, email con dominio parametrizable), sin lógica de negocio. Se debe implementar token y bitácora. </t>
  </si>
  <si>
    <t>MAT4</t>
  </si>
  <si>
    <t xml:space="preserve">Servicio para Administrar Direcciones</t>
  </si>
  <si>
    <t xml:space="preserve">Solo lectura. 3 consultas (/provincias, /cantones y /distritos) que no crean ni modifican datos. La única regla es que el cantón corresponda a la provincia; el trabajo extra es cargar el catálogo geográfico. Se debe implementar token y bitácora. </t>
  </si>
  <si>
    <t>MAT5</t>
  </si>
  <si>
    <t xml:space="preserve">Servicio para Admininstrar Notas</t>
  </si>
  <si>
    <t xml:space="preserve">Sube del CRUD por reglas de negocio con estado que controlar. 4 operaciones donde los rubros de un desglose deben sumar 100, cargar un desglose nuevo reemplaza el anterior, los rubros no se pueden modificar una vez asignadas notas y cada nota debe ir de 1 a 100. Se debe implementar token y bitácora. </t>
  </si>
  <si>
    <t>Académico</t>
  </si>
  <si>
    <t>ACA1</t>
  </si>
  <si>
    <t xml:space="preserve">Servicio para Consultar Historial Académico</t>
  </si>
  <si>
    <t xml:space="preserve">Un solo endpoint de solo lectura (/historialacademico) que devuelve código, nombre y promedio por curso. No escribe ni cambia estados. Se debe implementar token y bitácora. </t>
  </si>
  <si>
    <t>ACA2</t>
  </si>
  <si>
    <t xml:space="preserve">Servicio para Consultar Listado de Estudiantes</t>
  </si>
  <si>
    <t xml:space="preserve">Un solo endpoint de solo lectura (/listadoestudiantes) que recibe un periodo y devuelve 7 datos por estudiante. Solo une información de otras entidades (estudiante, carrera, curso y grupo), sin cálculos.</t>
  </si>
  <si>
    <t xml:space="preserve">Integración de pagos y notificaciones</t>
  </si>
  <si>
    <t>IPN1</t>
  </si>
  <si>
    <t xml:space="preserve">Servicio para Administrar Facturación</t>
  </si>
  <si>
    <t xml:space="preserve">Sube del CRUD por lógica de negocio. 4 operaciones con patrón encabezado-detalle obligatorio, monto de 30.000 colones más impuesto del 2 %, detalle fijo "Servicios estudiantiles", estado inicial pendiente y anulación (reverso) de facturas. Se debe implementar token y bitácora.</t>
  </si>
  <si>
    <t>IPN2</t>
  </si>
  <si>
    <t xml:space="preserve">Servicio para Administrar Pagos</t>
  </si>
  <si>
    <t xml:space="preserve">Sube del CRUD por manejo de estados entre entidades. Crear un pago marca la factura como pagada y reversarlo la devuelve a pendiente, por lo que factura y pago deben mantenerse consistentes. 4 operaciones (crear, reversar, obtener uno y listar por periodo). Se debe implementar token y bitácora.</t>
  </si>
  <si>
    <t>IPN3</t>
  </si>
  <si>
    <t xml:space="preserve">Servicio para Gestiónar Notificaciones</t>
  </si>
  <si>
    <t xml:space="preserve">Un solo endpoint (/notificar), pero con dependencia externa: envía correo con cuerpo HTML por un servidor de correo cuyos datos (servidor y cuenta) son parametrizables. Se debe implementar token y bitácora.</t>
  </si>
  <si>
    <t>General</t>
  </si>
  <si>
    <t>GEN1</t>
  </si>
  <si>
    <t xml:space="preserve">Servicio para Registrar y Consultar Bitácoras</t>
  </si>
  <si>
    <t xml:space="preserve">Técnicamente simple (2 endpoint /bitacora con 2 parámetros y fecha automática), pero es transversal: todos los demás servicios deben invocarlo para registrar cada operación de CRUD y cada error técnico. Además está implícito, se debe consultar el historial de bitácora.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</si>
</sst>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"/>
      <name val="Calibri"/>
      <scheme val="minor"/>
    </font>
    <font>
      <sz val="11.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00B0F0"/>
        <bgColor rgb="FF00B0F0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 style="none"/>
      <right style="none"/>
      <top style="none"/>
      <bottom style="none"/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thick">
        <color auto="1"/>
      </left>
      <right style="thick">
        <color auto="1"/>
      </right>
      <top style="thin">
        <color theme="1"/>
      </top>
      <bottom style="thin">
        <color theme="1"/>
      </bottom>
      <diagonal style="none"/>
    </border>
    <border>
      <left style="thick">
        <color auto="1"/>
      </left>
      <right style="thick">
        <color auto="1"/>
      </right>
      <top style="thin">
        <color theme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none"/>
      <bottom style="thick">
        <color auto="1"/>
      </bottom>
      <diagonal style="none"/>
    </border>
    <border>
      <left style="none"/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none"/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ck">
        <color auto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ck">
        <color auto="1"/>
      </bottom>
      <diagonal style="none"/>
    </border>
    <border>
      <left style="thick">
        <color auto="1"/>
      </left>
      <right style="none"/>
      <top style="thin">
        <color theme="1"/>
      </top>
      <bottom style="thick">
        <color auto="1"/>
      </bottom>
      <diagonal style="none"/>
    </border>
    <border>
      <left style="none"/>
      <right style="none"/>
      <top style="none"/>
      <bottom style="thick">
        <color auto="1"/>
      </bottom>
      <diagonal style="none"/>
    </border>
    <border>
      <left style="thick">
        <color auto="1"/>
      </left>
      <right style="none"/>
      <top style="none"/>
      <bottom style="thick">
        <color auto="1"/>
      </bottom>
      <diagonal style="none"/>
    </border>
  </borders>
  <cellStyleXfs count="4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0" numFmtId="0" applyNumberFormat="0" applyFont="1" applyFill="1" applyBorder="0"/>
  </cellStyleXfs>
  <cellXfs count="54">
    <xf fontId="0" fillId="0" borderId="0" numFmtId="0" xfId="0"/>
    <xf fontId="0" fillId="0" borderId="0" numFmtId="0" xfId="0" applyAlignment="1">
      <alignment horizontal="center"/>
    </xf>
    <xf fontId="4" fillId="5" borderId="1" numFmtId="0" xfId="0" applyFont="1" applyFill="1" applyBorder="1" applyAlignment="1">
      <alignment horizontal="center"/>
    </xf>
    <xf fontId="4" fillId="5" borderId="1" numFmtId="0" xfId="0" applyFont="1" applyFill="1" applyBorder="1" applyAlignment="1">
      <alignment horizontal="center" vertical="center"/>
    </xf>
    <xf fontId="4" fillId="6" borderId="2" numFmtId="0" xfId="0" applyFont="1" applyFill="1" applyBorder="1" applyAlignment="1">
      <alignment horizontal="center" vertical="center"/>
    </xf>
    <xf fontId="2" fillId="3" borderId="3" numFmtId="0" xfId="2" applyFont="1" applyFill="1" applyBorder="1" applyAlignment="1">
      <alignment horizontal="center" vertical="center"/>
    </xf>
    <xf fontId="0" fillId="7" borderId="2" numFmtId="0" xfId="0" applyFill="1" applyBorder="1" applyAlignment="1">
      <alignment horizontal="center" vertical="center"/>
    </xf>
    <xf fontId="4" fillId="6" borderId="4" numFmtId="0" xfId="0" applyFont="1" applyFill="1" applyBorder="1" applyAlignment="1">
      <alignment horizontal="center" vertical="center"/>
    </xf>
    <xf fontId="4" fillId="6" borderId="5" numFmtId="0" xfId="0" applyFont="1" applyFill="1" applyBorder="1" applyAlignment="1">
      <alignment horizontal="center" vertical="center"/>
    </xf>
    <xf fontId="0" fillId="7" borderId="6" numFmtId="0" xfId="0" applyFill="1" applyBorder="1" applyAlignment="1">
      <alignment horizontal="center" vertical="center"/>
    </xf>
    <xf fontId="5" fillId="0" borderId="0" numFmtId="0" xfId="0" applyFont="1"/>
    <xf fontId="4" fillId="8" borderId="1" numFmtId="0" xfId="0" applyFont="1" applyFill="1" applyBorder="1" applyAlignment="1">
      <alignment horizontal="center" vertical="center"/>
    </xf>
    <xf fontId="4" fillId="8" borderId="7" numFmtId="0" xfId="0" applyFont="1" applyFill="1" applyBorder="1" applyAlignment="1">
      <alignment horizontal="center" vertical="center"/>
    </xf>
    <xf fontId="0" fillId="9" borderId="2" numFmtId="0" xfId="0" applyFill="1" applyBorder="1" applyAlignment="1">
      <alignment horizontal="left" vertical="center"/>
    </xf>
    <xf fontId="4" fillId="9" borderId="3" numFmtId="0" xfId="0" applyFont="1" applyFill="1" applyBorder="1" applyAlignment="1">
      <alignment horizontal="center" vertical="center"/>
    </xf>
    <xf fontId="0" fillId="9" borderId="8" numFmtId="0" xfId="0" applyFill="1" applyBorder="1" applyAlignment="1">
      <alignment horizontal="left" vertical="center" wrapText="1"/>
    </xf>
    <xf fontId="6" fillId="0" borderId="8" numFmtId="0" xfId="1" applyFont="1" applyBorder="1" applyAlignment="1">
      <alignment horizontal="center" vertical="center"/>
    </xf>
    <xf fontId="4" fillId="9" borderId="2" numFmtId="0" xfId="0" applyFont="1" applyFill="1" applyBorder="1" applyAlignment="1">
      <alignment horizontal="center" vertical="center"/>
    </xf>
    <xf fontId="0" fillId="9" borderId="4" numFmtId="0" xfId="0" applyFill="1" applyBorder="1" applyAlignment="1">
      <alignment horizontal="left" vertical="center"/>
    </xf>
    <xf fontId="4" fillId="9" borderId="9" numFmtId="0" xfId="0" applyFont="1" applyFill="1" applyBorder="1" applyAlignment="1">
      <alignment horizontal="center" vertical="center"/>
    </xf>
    <xf fontId="0" fillId="9" borderId="10" numFmtId="0" xfId="0" applyFill="1" applyBorder="1" applyAlignment="1">
      <alignment horizontal="left" vertical="center" wrapText="1"/>
    </xf>
    <xf fontId="6" fillId="0" borderId="10" numFmtId="0" xfId="2" applyFont="1" applyBorder="1" applyAlignment="1">
      <alignment horizontal="center" vertical="center"/>
    </xf>
    <xf fontId="4" fillId="9" borderId="4" numFmtId="0" xfId="0" applyFont="1" applyFill="1" applyBorder="1" applyAlignment="1">
      <alignment horizontal="center" vertical="center"/>
    </xf>
    <xf fontId="0" fillId="9" borderId="5" numFmtId="0" xfId="0" applyFill="1" applyBorder="1" applyAlignment="1">
      <alignment horizontal="left" vertical="center"/>
    </xf>
    <xf fontId="4" fillId="9" borderId="11" numFmtId="0" xfId="0" applyFont="1" applyFill="1" applyBorder="1" applyAlignment="1">
      <alignment horizontal="center" vertical="center"/>
    </xf>
    <xf fontId="0" fillId="9" borderId="12" numFmtId="0" xfId="0" applyFill="1" applyBorder="1" applyAlignment="1">
      <alignment horizontal="left" vertical="center" wrapText="1"/>
    </xf>
    <xf fontId="6" fillId="0" borderId="12" numFmtId="0" xfId="2" applyFont="1" applyBorder="1" applyAlignment="1">
      <alignment horizontal="center" vertical="center"/>
    </xf>
    <xf fontId="4" fillId="9" borderId="5" numFmtId="0" xfId="0" applyFont="1" applyFill="1" applyBorder="1" applyAlignment="1">
      <alignment horizontal="center" vertical="center"/>
    </xf>
    <xf fontId="0" fillId="10" borderId="2" numFmtId="0" xfId="0" applyFill="1" applyBorder="1" applyAlignment="1">
      <alignment horizontal="left" vertical="center"/>
    </xf>
    <xf fontId="4" fillId="10" borderId="3" numFmtId="0" xfId="0" applyFont="1" applyFill="1" applyBorder="1" applyAlignment="1">
      <alignment horizontal="center" vertical="center"/>
    </xf>
    <xf fontId="0" fillId="10" borderId="8" numFmtId="0" xfId="0" applyFill="1" applyBorder="1" applyAlignment="1">
      <alignment horizontal="left" vertical="center" wrapText="1"/>
    </xf>
    <xf fontId="6" fillId="0" borderId="8" numFmtId="0" xfId="2" applyFont="1" applyBorder="1" applyAlignment="1">
      <alignment horizontal="center" vertical="center"/>
    </xf>
    <xf fontId="4" fillId="10" borderId="2" numFmtId="0" xfId="0" applyFont="1" applyFill="1" applyBorder="1" applyAlignment="1">
      <alignment horizontal="center" vertical="center"/>
    </xf>
    <xf fontId="0" fillId="10" borderId="4" numFmtId="0" xfId="0" applyFill="1" applyBorder="1" applyAlignment="1">
      <alignment horizontal="left" vertical="center"/>
    </xf>
    <xf fontId="4" fillId="10" borderId="9" numFmtId="0" xfId="0" applyFont="1" applyFill="1" applyBorder="1" applyAlignment="1">
      <alignment horizontal="center" vertical="center"/>
    </xf>
    <xf fontId="0" fillId="10" borderId="10" numFmtId="0" xfId="0" applyFill="1" applyBorder="1" applyAlignment="1">
      <alignment horizontal="left" vertical="center" wrapText="1"/>
    </xf>
    <xf fontId="4" fillId="10" borderId="4" numFmtId="0" xfId="0" applyFont="1" applyFill="1" applyBorder="1" applyAlignment="1">
      <alignment horizontal="center" vertical="center"/>
    </xf>
    <xf fontId="0" fillId="10" borderId="5" numFmtId="0" xfId="0" applyFill="1" applyBorder="1" applyAlignment="1">
      <alignment horizontal="left" vertical="center"/>
    </xf>
    <xf fontId="4" fillId="10" borderId="11" numFmtId="0" xfId="0" applyFont="1" applyFill="1" applyBorder="1" applyAlignment="1">
      <alignment horizontal="center" vertical="center"/>
    </xf>
    <xf fontId="0" fillId="10" borderId="12" numFmtId="0" xfId="0" applyFill="1" applyBorder="1" applyAlignment="1">
      <alignment horizontal="left" vertical="center" wrapText="1"/>
    </xf>
    <xf fontId="4" fillId="10" borderId="5" numFmtId="0" xfId="0" applyFont="1" applyFill="1" applyBorder="1" applyAlignment="1">
      <alignment horizontal="center" vertical="center"/>
    </xf>
    <xf fontId="6" fillId="0" borderId="10" numFmtId="0" xfId="1" applyFont="1" applyBorder="1" applyAlignment="1">
      <alignment horizontal="center" vertical="center"/>
    </xf>
    <xf fontId="0" fillId="9" borderId="10" numFmtId="0" xfId="0" applyFill="1" applyBorder="1" applyAlignment="1">
      <alignment horizontal="left" vertical="center"/>
    </xf>
    <xf fontId="6" fillId="0" borderId="10" numFmtId="0" xfId="3" applyFont="1" applyBorder="1" applyAlignment="1">
      <alignment horizontal="center" vertical="center"/>
    </xf>
    <xf fontId="6" fillId="0" borderId="12" numFmtId="0" xfId="1" applyFont="1" applyBorder="1" applyAlignment="1">
      <alignment horizontal="center" vertical="center"/>
    </xf>
    <xf fontId="6" fillId="0" borderId="8" numFmtId="0" xfId="3" applyFont="1" applyBorder="1" applyAlignment="1">
      <alignment horizontal="center" vertical="center"/>
    </xf>
    <xf fontId="6" fillId="0" borderId="12" numFmtId="0" xfId="3" applyFont="1" applyBorder="1" applyAlignment="1">
      <alignment horizontal="center" vertical="center"/>
    </xf>
    <xf fontId="0" fillId="10" borderId="6" numFmtId="0" xfId="0" applyFill="1" applyBorder="1" applyAlignment="1">
      <alignment horizontal="left" vertical="center"/>
    </xf>
    <xf fontId="4" fillId="10" borderId="13" numFmtId="0" xfId="0" applyFont="1" applyFill="1" applyBorder="1" applyAlignment="1">
      <alignment horizontal="center" vertical="center"/>
    </xf>
    <xf fontId="0" fillId="10" borderId="14" numFmtId="0" xfId="0" applyFill="1" applyBorder="1" applyAlignment="1">
      <alignment horizontal="left" vertical="center" wrapText="1"/>
    </xf>
    <xf fontId="6" fillId="0" borderId="14" numFmtId="0" xfId="2" applyFont="1" applyBorder="1" applyAlignment="1">
      <alignment horizontal="center" vertical="center"/>
    </xf>
    <xf fontId="4" fillId="10" borderId="6" numFmtId="0" xfId="0" applyFont="1" applyFill="1" applyBorder="1" applyAlignment="1">
      <alignment horizontal="center" vertical="center"/>
    </xf>
    <xf fontId="4" fillId="8" borderId="1" numFmtId="0" xfId="0" applyFont="1" applyFill="1" applyBorder="1" applyAlignment="1">
      <alignment horizontal="center"/>
    </xf>
    <xf fontId="4" fillId="8" borderId="7" numFmtId="0" xfId="0" applyFont="1" applyFill="1" applyBorder="1" applyAlignment="1">
      <alignment horizontal="center"/>
    </xf>
  </cellXfs>
  <cellStyles count="4">
    <cellStyle name="Normal" xfId="0" builtinId="0"/>
    <cellStyle name="Bad" xfId="1" builtinId="27"/>
    <cellStyle name="Neutral" xfId="2" builtinId="28"/>
    <cellStyle name="Good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kingMansOz" id="{CE720F10-A9C9-3E8C-67D9-3B74414113DB}" userId="AskingMansOz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9-19T09:13:08.03Z" personId="{CE720F10-A9C9-3E8C-67D9-3B74414113DB}" id="{04CB6911-E216-5FFA-A00E-331AF1FB8FD4}" done="0">
    <text xml:space="preserve">Mide la carga de trabajo del equipo con base en el promedio de puntos acumulados por los integrantes:
* Verde: Por debajo del promedio (menor carga).
* Amarillo: En el promedio exacto (carga equilibrada).
* Rojo: Por encima del promedio (sobrecarga de trabajo).
Lo ideal es que la carga de trabajo se mantengan cerca del promedio.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12" activeCellId="0" sqref="J12"/>
    </sheetView>
  </sheetViews>
  <sheetFormatPr baseColWidth="10" defaultColWidth="8.88671875" defaultRowHeight="14.25"/>
  <cols>
    <col bestFit="1" min="2" max="2" width="33"/>
    <col customWidth="1" min="3" max="3" width="17.140625"/>
    <col customWidth="1" min="4" max="4" width="47.7109375"/>
    <col customWidth="1" min="5" max="5" style="1" width="70.140625"/>
    <col customWidth="1" min="6" max="6" width="12.140625"/>
    <col customWidth="1" min="7" max="7" width="18.421875"/>
    <col bestFit="1" customWidth="1" min="8" max="8" width="11.421875"/>
    <col bestFit="1" min="9" max="9" width="11.421875"/>
    <col customWidth="1" min="10" max="10" width="20.28125"/>
    <col customWidth="1" min="11" max="11" width="19.421875"/>
    <col bestFit="1" min="12" max="12" width="18.77734375"/>
    <col customWidth="1" min="13" max="13" width="9.109375"/>
  </cols>
  <sheetData>
    <row r="2" ht="14.25">
      <c r="E2" s="1"/>
    </row>
    <row r="3" ht="17.399999999999999" customHeight="1">
      <c r="B3" s="2" t="s">
        <v>0</v>
      </c>
      <c r="C3" s="2" t="s">
        <v>1</v>
      </c>
      <c r="D3" s="3" t="s">
        <v>2</v>
      </c>
    </row>
    <row r="4" ht="14.25">
      <c r="B4" s="4" t="s">
        <v>3</v>
      </c>
      <c r="C4" s="5">
        <f t="shared" ref="C4:C8" si="0">SUMIF($G$13:$G$100,B4,$F$13:$F$100)</f>
        <v>0</v>
      </c>
      <c r="D4" s="6">
        <f t="shared" ref="D4:D8" si="1">COUNTIF($G$13:$G$100,B4)</f>
        <v>0</v>
      </c>
    </row>
    <row r="5">
      <c r="B5" s="7" t="s">
        <v>4</v>
      </c>
      <c r="C5" s="5">
        <f t="shared" si="0"/>
        <v>0</v>
      </c>
      <c r="D5" s="6">
        <f t="shared" si="1"/>
        <v>0</v>
      </c>
    </row>
    <row r="6" ht="42.75">
      <c r="B6" s="7" t="s">
        <v>5</v>
      </c>
      <c r="C6" s="5">
        <f t="shared" si="0"/>
        <v>0</v>
      </c>
      <c r="D6" s="6">
        <f t="shared" si="1"/>
        <v>0</v>
      </c>
    </row>
    <row r="7" ht="28.5">
      <c r="B7" s="7" t="s">
        <v>6</v>
      </c>
      <c r="C7" s="5">
        <f t="shared" si="0"/>
        <v>0</v>
      </c>
      <c r="D7" s="6">
        <f t="shared" si="1"/>
        <v>0</v>
      </c>
    </row>
    <row r="8" ht="28.5">
      <c r="B8" s="8" t="s">
        <v>7</v>
      </c>
      <c r="C8" s="5">
        <f t="shared" si="0"/>
        <v>0</v>
      </c>
      <c r="D8" s="9">
        <f t="shared" si="1"/>
        <v>0</v>
      </c>
      <c r="H8" s="10"/>
    </row>
    <row r="9" ht="28.5">
      <c r="B9" s="11" t="s">
        <v>8</v>
      </c>
      <c r="C9" s="12">
        <f>SUM(C4:C8)</f>
        <v>0</v>
      </c>
    </row>
    <row r="10" ht="15"/>
    <row r="11" ht="15.6"/>
    <row r="12" ht="17.399999999999999" customHeight="1"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</row>
    <row r="13" ht="71.25">
      <c r="B13" s="13" t="s">
        <v>15</v>
      </c>
      <c r="C13" s="14" t="s">
        <v>16</v>
      </c>
      <c r="D13" s="13" t="s">
        <v>17</v>
      </c>
      <c r="E13" s="15" t="s">
        <v>18</v>
      </c>
      <c r="F13" s="16">
        <v>8</v>
      </c>
      <c r="G13" s="17"/>
    </row>
    <row r="14" ht="42.75">
      <c r="B14" s="18" t="s">
        <v>15</v>
      </c>
      <c r="C14" s="19" t="s">
        <v>19</v>
      </c>
      <c r="D14" s="18" t="s">
        <v>20</v>
      </c>
      <c r="E14" s="20" t="s">
        <v>21</v>
      </c>
      <c r="F14" s="21">
        <v>5</v>
      </c>
      <c r="G14" s="22"/>
    </row>
    <row r="15" ht="71.25">
      <c r="B15" s="18" t="s">
        <v>15</v>
      </c>
      <c r="C15" s="19" t="s">
        <v>22</v>
      </c>
      <c r="D15" s="18" t="s">
        <v>23</v>
      </c>
      <c r="E15" s="20" t="s">
        <v>24</v>
      </c>
      <c r="F15" s="21">
        <v>5</v>
      </c>
      <c r="G15" s="22"/>
    </row>
    <row r="16" ht="28.5">
      <c r="B16" s="18" t="s">
        <v>15</v>
      </c>
      <c r="C16" s="19" t="s">
        <v>25</v>
      </c>
      <c r="D16" s="18" t="s">
        <v>26</v>
      </c>
      <c r="E16" s="20" t="s">
        <v>27</v>
      </c>
      <c r="F16" s="21">
        <v>5</v>
      </c>
      <c r="G16" s="22"/>
    </row>
    <row r="17" ht="71.25">
      <c r="B17" s="23" t="s">
        <v>15</v>
      </c>
      <c r="C17" s="24" t="s">
        <v>28</v>
      </c>
      <c r="D17" s="23" t="s">
        <v>29</v>
      </c>
      <c r="E17" s="25" t="s">
        <v>30</v>
      </c>
      <c r="F17" s="26">
        <v>5</v>
      </c>
      <c r="G17" s="27"/>
    </row>
    <row r="18" ht="42.75">
      <c r="B18" s="28" t="s">
        <v>31</v>
      </c>
      <c r="C18" s="29" t="s">
        <v>32</v>
      </c>
      <c r="D18" s="28" t="s">
        <v>33</v>
      </c>
      <c r="E18" s="30" t="s">
        <v>34</v>
      </c>
      <c r="F18" s="31">
        <v>5</v>
      </c>
      <c r="G18" s="32"/>
    </row>
    <row r="19" ht="57">
      <c r="B19" s="33" t="s">
        <v>31</v>
      </c>
      <c r="C19" s="34" t="s">
        <v>35</v>
      </c>
      <c r="D19" s="33" t="s">
        <v>36</v>
      </c>
      <c r="E19" s="35" t="s">
        <v>37</v>
      </c>
      <c r="F19" s="21">
        <v>5</v>
      </c>
      <c r="G19" s="36"/>
    </row>
    <row r="20" ht="42.75">
      <c r="B20" s="33" t="s">
        <v>31</v>
      </c>
      <c r="C20" s="34" t="s">
        <v>38</v>
      </c>
      <c r="D20" s="33" t="s">
        <v>39</v>
      </c>
      <c r="E20" s="35" t="s">
        <v>40</v>
      </c>
      <c r="F20" s="21">
        <v>5</v>
      </c>
      <c r="G20" s="36"/>
    </row>
    <row r="21" ht="57">
      <c r="B21" s="33" t="s">
        <v>31</v>
      </c>
      <c r="C21" s="34" t="s">
        <v>41</v>
      </c>
      <c r="D21" s="33" t="s">
        <v>42</v>
      </c>
      <c r="E21" s="35" t="s">
        <v>43</v>
      </c>
      <c r="F21" s="21">
        <v>5</v>
      </c>
      <c r="G21" s="36"/>
    </row>
    <row r="22" ht="42.75">
      <c r="B22" s="33" t="s">
        <v>31</v>
      </c>
      <c r="C22" s="34" t="s">
        <v>44</v>
      </c>
      <c r="D22" s="33" t="s">
        <v>45</v>
      </c>
      <c r="E22" s="35" t="s">
        <v>46</v>
      </c>
      <c r="F22" s="21">
        <v>5</v>
      </c>
      <c r="G22" s="36"/>
    </row>
    <row r="23" ht="57">
      <c r="B23" s="37" t="s">
        <v>31</v>
      </c>
      <c r="C23" s="38" t="s">
        <v>47</v>
      </c>
      <c r="D23" s="37" t="s">
        <v>48</v>
      </c>
      <c r="E23" s="39" t="s">
        <v>49</v>
      </c>
      <c r="F23" s="26">
        <v>5</v>
      </c>
      <c r="G23" s="40"/>
    </row>
    <row r="24" ht="57">
      <c r="B24" s="13" t="s">
        <v>50</v>
      </c>
      <c r="C24" s="14" t="s">
        <v>51</v>
      </c>
      <c r="D24" s="13" t="s">
        <v>52</v>
      </c>
      <c r="E24" s="15" t="s">
        <v>53</v>
      </c>
      <c r="F24" s="16">
        <v>8</v>
      </c>
      <c r="G24" s="17"/>
    </row>
    <row r="25" ht="57">
      <c r="B25" s="18" t="s">
        <v>50</v>
      </c>
      <c r="C25" s="19" t="s">
        <v>54</v>
      </c>
      <c r="D25" s="18" t="s">
        <v>55</v>
      </c>
      <c r="E25" s="20" t="s">
        <v>56</v>
      </c>
      <c r="F25" s="41">
        <v>8</v>
      </c>
      <c r="G25" s="22"/>
    </row>
    <row r="26" ht="57">
      <c r="B26" s="18" t="s">
        <v>50</v>
      </c>
      <c r="C26" s="19" t="s">
        <v>57</v>
      </c>
      <c r="D26" s="42" t="s">
        <v>58</v>
      </c>
      <c r="E26" s="20" t="s">
        <v>59</v>
      </c>
      <c r="F26" s="21">
        <v>5</v>
      </c>
      <c r="G26" s="22"/>
    </row>
    <row r="27" ht="57">
      <c r="B27" s="18" t="s">
        <v>50</v>
      </c>
      <c r="C27" s="19" t="s">
        <v>60</v>
      </c>
      <c r="D27" s="18" t="s">
        <v>61</v>
      </c>
      <c r="E27" s="20" t="s">
        <v>62</v>
      </c>
      <c r="F27" s="43">
        <v>3</v>
      </c>
      <c r="G27" s="22"/>
    </row>
    <row r="28" ht="57">
      <c r="B28" s="23" t="s">
        <v>50</v>
      </c>
      <c r="C28" s="24" t="s">
        <v>63</v>
      </c>
      <c r="D28" s="23" t="s">
        <v>64</v>
      </c>
      <c r="E28" s="25" t="s">
        <v>65</v>
      </c>
      <c r="F28" s="44">
        <v>8</v>
      </c>
      <c r="G28" s="27"/>
    </row>
    <row r="29" ht="42.75">
      <c r="B29" s="28" t="s">
        <v>66</v>
      </c>
      <c r="C29" s="29" t="s">
        <v>67</v>
      </c>
      <c r="D29" s="28" t="s">
        <v>68</v>
      </c>
      <c r="E29" s="30" t="s">
        <v>69</v>
      </c>
      <c r="F29" s="45">
        <v>3</v>
      </c>
      <c r="G29" s="32"/>
    </row>
    <row r="30" ht="42.75">
      <c r="B30" s="37" t="s">
        <v>66</v>
      </c>
      <c r="C30" s="38" t="s">
        <v>70</v>
      </c>
      <c r="D30" s="37" t="s">
        <v>71</v>
      </c>
      <c r="E30" s="39" t="s">
        <v>72</v>
      </c>
      <c r="F30" s="46">
        <v>3</v>
      </c>
      <c r="G30" s="40"/>
    </row>
    <row r="31" ht="57">
      <c r="B31" s="13" t="s">
        <v>73</v>
      </c>
      <c r="C31" s="14" t="s">
        <v>74</v>
      </c>
      <c r="D31" s="13" t="s">
        <v>75</v>
      </c>
      <c r="E31" s="15" t="s">
        <v>76</v>
      </c>
      <c r="F31" s="16">
        <v>8</v>
      </c>
      <c r="G31" s="17"/>
    </row>
    <row r="32" ht="57">
      <c r="B32" s="18" t="s">
        <v>73</v>
      </c>
      <c r="C32" s="19" t="s">
        <v>77</v>
      </c>
      <c r="D32" s="18" t="s">
        <v>78</v>
      </c>
      <c r="E32" s="20" t="s">
        <v>79</v>
      </c>
      <c r="F32" s="41">
        <v>8</v>
      </c>
      <c r="G32" s="22"/>
    </row>
    <row r="33" ht="42.75">
      <c r="B33" s="23" t="s">
        <v>73</v>
      </c>
      <c r="C33" s="24" t="s">
        <v>80</v>
      </c>
      <c r="D33" s="23" t="s">
        <v>81</v>
      </c>
      <c r="E33" s="25" t="s">
        <v>82</v>
      </c>
      <c r="F33" s="46">
        <v>3</v>
      </c>
      <c r="G33" s="27"/>
    </row>
    <row r="34" ht="57">
      <c r="B34" s="47" t="s">
        <v>83</v>
      </c>
      <c r="C34" s="48" t="s">
        <v>84</v>
      </c>
      <c r="D34" s="47" t="s">
        <v>85</v>
      </c>
      <c r="E34" s="49" t="s">
        <v>86</v>
      </c>
      <c r="F34" s="50">
        <v>5</v>
      </c>
      <c r="G34" s="51"/>
    </row>
    <row r="35" ht="14.25">
      <c r="E35" s="52" t="s">
        <v>8</v>
      </c>
      <c r="F35" s="53">
        <f>SUM(F13:F34)</f>
        <v>120</v>
      </c>
    </row>
  </sheetData>
  <dataValidations count="1" disablePrompts="0">
    <dataValidation sqref="B4:B8" type="none" allowBlank="1" errorStyle="stop" imeMode="noControl" operator="between" promptTitle="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09BB8211-5B0D-45A9-8802-F9F642820BFB}">
            <xm:f>3</xm:f>
            <x14:dxf>
              <font>
                <color rgb="FF006100"/>
              </font>
            </x14:dxf>
          </x14:cfRule>
          <xm:sqref>F13:F34</xm:sqref>
        </x14:conditionalFormatting>
        <x14:conditionalFormatting xmlns:xm="http://schemas.microsoft.com/office/excel/2006/main">
          <x14:cfRule type="cellIs" priority="6" operator="lessThanOrEqual" id="{A9EC28CA-90E4-44F3-8FE0-32656C7F0A1A}">
            <xm:f>3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F13:F34</xm:sqref>
        </x14:conditionalFormatting>
        <x14:conditionalFormatting xmlns:xm="http://schemas.microsoft.com/office/excel/2006/main">
          <x14:cfRule type="cellIs" priority="5" operator="notBetween" id="{3B2FCBEF-CCE7-4E53-8C5D-2B0883AC9268}">
            <xm:f>3</xm:f>
            <xm:f>8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F13:F34</xm:sqref>
        </x14:conditionalFormatting>
        <x14:conditionalFormatting xmlns:xm="http://schemas.microsoft.com/office/excel/2006/main">
          <x14:cfRule type="cellIs" priority="4" operator="between" id="{DEF280EA-0099-4633-BBF2-379C4AB18D4D}">
            <xm:f>4</xm:f>
            <xm:f>7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F13:F34</xm:sqref>
        </x14:conditionalFormatting>
        <x14:conditionalFormatting xmlns:xm="http://schemas.microsoft.com/office/excel/2006/main">
          <x14:cfRule type="cellIs" priority="3" operator="greaterThanOrEqual" id="{F4608307-6605-4A03-8D0F-504D7B2BDC85}">
            <xm:f>8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F13:F34</xm:sqref>
        </x14:conditionalFormatting>
        <x14:conditionalFormatting xmlns:xm="http://schemas.microsoft.com/office/excel/2006/main">
          <x14:cfRule type="aboveAverage" priority="2" stdDev="0" id="{56553315-77DA-4C89-9131-296A3670719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C4:C8</xm:sqref>
        </x14:conditionalFormatting>
        <x14:conditionalFormatting xmlns:xm="http://schemas.microsoft.com/office/excel/2006/main">
          <x14:cfRule type="aboveAverage" priority="1" aboveAverage="0" stdDev="0" id="{E7FA339C-0920-4A26-A157-52581599B7CF}"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C4:C8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C71EC464-344C-4E81-9097-7A8AE933C8F4}" type="list" allowBlank="1" errorStyle="stop" imeMode="noControl" operator="between" showDropDown="0" showErrorMessage="1" showInputMessage="1">
          <x14:formula1>
            <xm:f>$B$4:$B$8</xm:f>
          </x14:formula1>
          <xm:sqref>G13:G34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AskingMansOz</dc:creator>
  <cp:revision>9</cp:revision>
  <dcterms:created xsi:type="dcterms:W3CDTF">2015-06-05T18:19:34Z</dcterms:created>
  <dcterms:modified xsi:type="dcterms:W3CDTF">2026-09-21T03:47:15Z</dcterms:modified>
</cp:coreProperties>
</file>