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Default Extension="vml" ContentType="application/vnd.openxmlformats-officedocument.vmlDrawing"/>
  <Override PartName="/docProps/app.xml" ContentType="application/vnd.openxmlformats-officedocument.extended-properties+xml"/>
  <Override PartName="/xl/comments1.xml" ContentType="application/vnd.openxmlformats-officedocument.spreadsheetml.comment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persons/person.xml" ContentType="application/vnd.ms-excel.person+xml"/>
  <Override PartName="/xl/threadedComments/threadedComment1.xml" ContentType="application/vnd.ms-excel.threadedcomments+xml"/>
  <Override PartName="/xl/theme/theme1.xml" ContentType="application/vnd.openxmlformats-officedocument.theme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Peso Historias de Usuario" sheetId="1" state="visible" r:id="rId2"/>
  </sheets>
  <definedNames>
    <definedName name="solver_ver" localSheetId="0" hidden="1">3</definedName>
    <definedName name="solver_est" localSheetId="0" hidden="1">1</definedName>
    <definedName name="solver_nwt" localSheetId="0" hidden="1">1</definedName>
    <definedName name="solver_typ" localSheetId="0" hidden="1">1</definedName>
    <definedName name="solver_val" localSheetId="0" hidden="1">0</definedName>
    <definedName name="solver_neg" localSheetId="0" hidden="1">1</definedName>
    <definedName name="solver_eng" localSheetId="0" hidden="1">2</definedName>
    <definedName name="solver_pre" localSheetId="0" hidden="1">1</definedName>
    <definedName name="solver_scl" localSheetId="0" hidden="1">2</definedName>
    <definedName name="solver_tim" localSheetId="0" hidden="1">2147483647</definedName>
    <definedName name="solver_itr" localSheetId="0" hidden="1">2147483647</definedName>
  </definedNames>
  <calcPr/>
  <extLst>
    <ext xmlns:x15="http://schemas.microsoft.com/office/spreadsheetml/2010/11/main" uri="{D0CA8CA8-9F24-4464-BF8E-62219DCF47F9}"/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tc={04CB6911-E216-5FFA-A00E-331AF1FB8FD4}</author>
    <author>tc={6A98EA58-EBE2-D560-1FEC-96EE11A8B0CE}</author>
  </authors>
  <commentList>
    <comment ref="C4" authorId="0" xr:uid="{04CB6911-E216-5FFA-A00E-331AF1FB8FD4}">
      <text>
        <r>
          <rPr>
            <b/>
            <sz val="9"/>
            <rFont val="Tahoma"/>
          </rPr>
          <t>AskingMansOz:</t>
        </r>
        <r>
          <rPr>
            <sz val="9"/>
            <rFont val="Tahoma"/>
          </rPr>
          <t xml:space="preserve">
Mide la carga de trabajo del equipo con base en el promedio de puntos acumulados por los integrantes:
* Verde: Por debajo del promedio (menor carga).
* Amarillo: En el promedio exacto (carga equilibrada).
* Rojo: Por encima del promedio (sobrecarga de trabajo).
Lo ideal es que la carga de trabajo se mantengan cerca del promedio.
</t>
        </r>
      </text>
    </comment>
    <comment ref="D4" authorId="1" xr:uid="{6A98EA58-EBE2-D560-1FEC-96EE11A8B0CE}">
      <text>
        <r>
          <rPr>
            <b/>
            <sz val="9"/>
            <rFont val="Tahoma"/>
          </rPr>
          <t>AskingMansOz:</t>
        </r>
        <r>
          <rPr>
            <sz val="9"/>
            <rFont val="Tahoma"/>
          </rPr>
          <t xml:space="preserve">
21.6 x Persona
</t>
        </r>
      </text>
    </comment>
  </commentList>
</comments>
</file>

<file path=xl/sharedStrings.xml><?xml version="1.0" encoding="utf-8"?>
<sst xmlns="http://schemas.openxmlformats.org/spreadsheetml/2006/main" count="64" uniqueCount="64">
  <si>
    <t xml:space="preserve">Integrantes Proyecto</t>
  </si>
  <si>
    <t xml:space="preserve">Puntaje Obtenido</t>
  </si>
  <si>
    <t xml:space="preserve">Cantidad Historias de Usuario Asignadas</t>
  </si>
  <si>
    <t xml:space="preserve">Sebastián Jiménez Arrieta</t>
  </si>
  <si>
    <t xml:space="preserve">Brandon Guido Navarro</t>
  </si>
  <si>
    <t xml:space="preserve">Sebastián Obando Ramírez</t>
  </si>
  <si>
    <t xml:space="preserve">Julián Solano Obando</t>
  </si>
  <si>
    <t xml:space="preserve">Anthony Gamboa Elizondo</t>
  </si>
  <si>
    <t>Total</t>
  </si>
  <si>
    <t>Modulo</t>
  </si>
  <si>
    <t>ID</t>
  </si>
  <si>
    <t xml:space="preserve">Historia de Usuario</t>
  </si>
  <si>
    <t xml:space="preserve">Story Points</t>
  </si>
  <si>
    <t xml:space="preserve">Asignado a</t>
  </si>
  <si>
    <t xml:space="preserve">Usuarios y roles</t>
  </si>
  <si>
    <t>USR1</t>
  </si>
  <si>
    <t xml:space="preserve">Servicio para Administrar Usuarios</t>
  </si>
  <si>
    <t>USR2</t>
  </si>
  <si>
    <t xml:space="preserve">Servicio para Administrar Roles</t>
  </si>
  <si>
    <t>USR3</t>
  </si>
  <si>
    <t xml:space="preserve">Servicio para Administrar Parametrización</t>
  </si>
  <si>
    <t>USR4</t>
  </si>
  <si>
    <t xml:space="preserve">Servicio para Administrar Módulos</t>
  </si>
  <si>
    <t>USR5</t>
  </si>
  <si>
    <t xml:space="preserve">Servicio para Login</t>
  </si>
  <si>
    <t xml:space="preserve">Oferta acádecima</t>
  </si>
  <si>
    <t>ACD1</t>
  </si>
  <si>
    <t xml:space="preserve">Servicio para Administrar Instituciones</t>
  </si>
  <si>
    <t>ACD2</t>
  </si>
  <si>
    <t xml:space="preserve">Servicio para Administrar Carreras</t>
  </si>
  <si>
    <t>ACD3</t>
  </si>
  <si>
    <t xml:space="preserve">Servicio para Administrar Cursos</t>
  </si>
  <si>
    <t>ACD4</t>
  </si>
  <si>
    <t xml:space="preserve">Servicio para Administrar Grupos</t>
  </si>
  <si>
    <t>ACD5</t>
  </si>
  <si>
    <t xml:space="preserve">Servicio para Administrar Periodos</t>
  </si>
  <si>
    <t>ACD6</t>
  </si>
  <si>
    <t xml:space="preserve">Servicio para Administrar Profesores</t>
  </si>
  <si>
    <t>Matrícula</t>
  </si>
  <si>
    <t>MAT1</t>
  </si>
  <si>
    <t xml:space="preserve">Servicio para Administrar Pre-Matrícula</t>
  </si>
  <si>
    <t>MAT2</t>
  </si>
  <si>
    <t xml:space="preserve">Servicio para Administrar Matrícula</t>
  </si>
  <si>
    <t>MAT3</t>
  </si>
  <si>
    <t xml:space="preserve">Servicio para Administrar Expedientes de Estudiantes</t>
  </si>
  <si>
    <t>MAT4</t>
  </si>
  <si>
    <t xml:space="preserve">Servicio para Administrar Direcciones</t>
  </si>
  <si>
    <t>MAT5</t>
  </si>
  <si>
    <t xml:space="preserve">Servicio para Admininstrar Notas</t>
  </si>
  <si>
    <t>Académico</t>
  </si>
  <si>
    <t>ACA1</t>
  </si>
  <si>
    <t xml:space="preserve">Servicio para Consultar Historial Académico</t>
  </si>
  <si>
    <t>ACA2</t>
  </si>
  <si>
    <t xml:space="preserve">Servicio para Consultar Listado de Estudiantes</t>
  </si>
  <si>
    <t xml:space="preserve">Integración de pagos y notificaciones</t>
  </si>
  <si>
    <t>IPN1</t>
  </si>
  <si>
    <t xml:space="preserve">Servicio para Administrar Facturación</t>
  </si>
  <si>
    <t>IPN2</t>
  </si>
  <si>
    <t xml:space="preserve">Servicio para Administrar Pagos</t>
  </si>
  <si>
    <t>IPN3</t>
  </si>
  <si>
    <t xml:space="preserve">Servicio para Gestiónar Notificaciones</t>
  </si>
  <si>
    <t>General</t>
  </si>
  <si>
    <t>GEN1</t>
  </si>
  <si>
    <t xml:space="preserve">Servicio para Registrar y Consultar Bitácoras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</si>
</sst>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7">
    <font>
      <sz val="11.000000"/>
      <color theme="1"/>
      <name val="Calibri"/>
      <scheme val="minor"/>
    </font>
    <font>
      <sz val="11.000000"/>
      <color rgb="FF9C0006"/>
      <name val="Calibri"/>
      <scheme val="minor"/>
    </font>
    <font>
      <sz val="11.000000"/>
      <color rgb="FF9C6500"/>
      <name val="Calibri"/>
      <scheme val="minor"/>
    </font>
    <font>
      <sz val="11.000000"/>
      <color rgb="FF006100"/>
      <name val="Calibri"/>
      <scheme val="minor"/>
    </font>
    <font>
      <b/>
      <sz val="11.000000"/>
      <color theme="1"/>
      <name val="Calibri"/>
      <scheme val="minor"/>
    </font>
    <font>
      <u/>
      <sz val="11.000000"/>
      <color theme="1"/>
      <name val="Calibri"/>
      <scheme val="minor"/>
    </font>
    <font>
      <sz val="11.000000"/>
      <name val="Calibri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C7CE"/>
        <bgColor rgb="FFFFC7CE"/>
      </patternFill>
    </fill>
    <fill>
      <patternFill patternType="solid">
        <fgColor rgb="FFFFEB9C"/>
        <bgColor rgb="FFFFEB9C"/>
      </patternFill>
    </fill>
    <fill>
      <patternFill patternType="solid">
        <fgColor rgb="FFC6EFCE"/>
        <bgColor rgb="FFC6EFCE"/>
      </patternFill>
    </fill>
    <fill>
      <patternFill patternType="solid">
        <fgColor rgb="FF00B0F0"/>
        <bgColor rgb="FF00B0F0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92D050"/>
      </patternFill>
    </fill>
    <fill>
      <patternFill patternType="solid">
        <fgColor theme="3" tint="0.79998168889431442"/>
        <bgColor theme="3" tint="0.79998168889431442"/>
      </patternFill>
    </fill>
    <fill>
      <patternFill patternType="solid">
        <fgColor theme="4" tint="0.79998168889431442"/>
        <bgColor theme="4" tint="0.79998168889431442"/>
      </patternFill>
    </fill>
  </fills>
  <borders count="15">
    <border>
      <left style="none"/>
      <right style="none"/>
      <top style="none"/>
      <bottom style="none"/>
      <diagonal style="none"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 style="none"/>
    </border>
    <border>
      <left style="thick">
        <color auto="1"/>
      </left>
      <right style="thick">
        <color auto="1"/>
      </right>
      <top style="none"/>
      <bottom style="thin">
        <color theme="1"/>
      </bottom>
      <diagonal style="none"/>
    </border>
    <border>
      <left style="none"/>
      <right style="none"/>
      <top style="none"/>
      <bottom style="thin">
        <color theme="1"/>
      </bottom>
      <diagonal style="none"/>
    </border>
    <border>
      <left style="thick">
        <color auto="1"/>
      </left>
      <right style="thick">
        <color auto="1"/>
      </right>
      <top style="thin">
        <color theme="1"/>
      </top>
      <bottom style="thin">
        <color theme="1"/>
      </bottom>
      <diagonal style="none"/>
    </border>
    <border>
      <left style="thick">
        <color auto="1"/>
      </left>
      <right style="thick">
        <color auto="1"/>
      </right>
      <top style="thin">
        <color theme="1"/>
      </top>
      <bottom style="thick">
        <color auto="1"/>
      </bottom>
      <diagonal style="none"/>
    </border>
    <border>
      <left style="thick">
        <color auto="1"/>
      </left>
      <right style="thick">
        <color auto="1"/>
      </right>
      <top style="none"/>
      <bottom style="thick">
        <color auto="1"/>
      </bottom>
      <diagonal style="none"/>
    </border>
    <border>
      <left style="none"/>
      <right style="thick">
        <color auto="1"/>
      </right>
      <top style="thick">
        <color auto="1"/>
      </top>
      <bottom style="thick">
        <color auto="1"/>
      </bottom>
      <diagonal style="none"/>
    </border>
    <border>
      <left style="thick">
        <color auto="1"/>
      </left>
      <right style="none"/>
      <top style="none"/>
      <bottom style="thin">
        <color theme="1"/>
      </bottom>
      <diagonal style="none"/>
    </border>
    <border>
      <left style="none"/>
      <right style="none"/>
      <top style="thin">
        <color theme="1"/>
      </top>
      <bottom style="thin">
        <color theme="1"/>
      </bottom>
      <diagonal style="none"/>
    </border>
    <border>
      <left style="thick">
        <color auto="1"/>
      </left>
      <right style="none"/>
      <top style="thin">
        <color theme="1"/>
      </top>
      <bottom style="thin">
        <color theme="1"/>
      </bottom>
      <diagonal style="none"/>
    </border>
    <border>
      <left style="none"/>
      <right style="none"/>
      <top style="thin">
        <color theme="1"/>
      </top>
      <bottom style="thick">
        <color auto="1"/>
      </bottom>
      <diagonal style="none"/>
    </border>
    <border>
      <left style="thick">
        <color auto="1"/>
      </left>
      <right style="none"/>
      <top style="thin">
        <color theme="1"/>
      </top>
      <bottom style="thick">
        <color auto="1"/>
      </bottom>
      <diagonal style="none"/>
    </border>
    <border>
      <left style="none"/>
      <right style="none"/>
      <top style="none"/>
      <bottom style="thick">
        <color auto="1"/>
      </bottom>
      <diagonal style="none"/>
    </border>
    <border>
      <left style="thick">
        <color auto="1"/>
      </left>
      <right style="none"/>
      <top style="none"/>
      <bottom style="thick">
        <color auto="1"/>
      </bottom>
      <diagonal style="none"/>
    </border>
  </borders>
  <cellStyleXfs count="4">
    <xf fontId="0" fillId="0" borderId="0" numFmtId="0" applyNumberFormat="1" applyFont="1" applyFill="1" applyBorder="1"/>
    <xf fontId="1" fillId="2" borderId="0" numFmtId="0" applyNumberFormat="0" applyFont="1" applyFill="1" applyBorder="0"/>
    <xf fontId="2" fillId="3" borderId="0" numFmtId="0" applyNumberFormat="0" applyFont="1" applyFill="1" applyBorder="0"/>
    <xf fontId="3" fillId="4" borderId="0" numFmtId="0" applyNumberFormat="0" applyFont="1" applyFill="1" applyBorder="0"/>
  </cellStyleXfs>
  <cellXfs count="47">
    <xf fontId="0" fillId="0" borderId="0" numFmtId="0" xfId="0"/>
    <xf fontId="0" fillId="0" borderId="0" numFmtId="0" xfId="0" applyAlignment="1">
      <alignment horizontal="center"/>
    </xf>
    <xf fontId="4" fillId="5" borderId="1" numFmtId="0" xfId="0" applyFont="1" applyFill="1" applyBorder="1" applyAlignment="1">
      <alignment horizontal="center"/>
    </xf>
    <xf fontId="4" fillId="5" borderId="1" numFmtId="0" xfId="0" applyFont="1" applyFill="1" applyBorder="1" applyAlignment="1">
      <alignment horizontal="center" vertical="center"/>
    </xf>
    <xf fontId="4" fillId="6" borderId="2" numFmtId="0" xfId="0" applyFont="1" applyFill="1" applyBorder="1" applyAlignment="1">
      <alignment horizontal="center" vertical="center"/>
    </xf>
    <xf fontId="2" fillId="3" borderId="3" numFmtId="0" xfId="2" applyFont="1" applyFill="1" applyBorder="1" applyAlignment="1">
      <alignment horizontal="center" vertical="center"/>
    </xf>
    <xf fontId="0" fillId="7" borderId="2" numFmtId="0" xfId="0" applyFill="1" applyBorder="1" applyAlignment="1">
      <alignment horizontal="center" vertical="center"/>
    </xf>
    <xf fontId="4" fillId="6" borderId="4" numFmtId="0" xfId="0" applyFont="1" applyFill="1" applyBorder="1" applyAlignment="1">
      <alignment horizontal="center" vertical="center"/>
    </xf>
    <xf fontId="4" fillId="6" borderId="5" numFmtId="0" xfId="0" applyFont="1" applyFill="1" applyBorder="1" applyAlignment="1">
      <alignment horizontal="center" vertical="center"/>
    </xf>
    <xf fontId="0" fillId="7" borderId="6" numFmtId="0" xfId="0" applyFill="1" applyBorder="1" applyAlignment="1">
      <alignment horizontal="center" vertical="center"/>
    </xf>
    <xf fontId="5" fillId="0" borderId="0" numFmtId="0" xfId="0" applyFont="1"/>
    <xf fontId="4" fillId="8" borderId="1" numFmtId="0" xfId="0" applyFont="1" applyFill="1" applyBorder="1" applyAlignment="1">
      <alignment horizontal="center" vertical="center"/>
    </xf>
    <xf fontId="4" fillId="8" borderId="7" numFmtId="0" xfId="0" applyFont="1" applyFill="1" applyBorder="1" applyAlignment="1">
      <alignment horizontal="center" vertical="center"/>
    </xf>
    <xf fontId="0" fillId="9" borderId="2" numFmtId="0" xfId="0" applyFill="1" applyBorder="1" applyAlignment="1">
      <alignment horizontal="left" vertical="center"/>
    </xf>
    <xf fontId="4" fillId="9" borderId="3" numFmtId="0" xfId="0" applyFont="1" applyFill="1" applyBorder="1" applyAlignment="1">
      <alignment horizontal="center" vertical="center"/>
    </xf>
    <xf fontId="6" fillId="0" borderId="8" numFmtId="0" xfId="1" applyFont="1" applyBorder="1" applyAlignment="1">
      <alignment horizontal="center" vertical="center"/>
    </xf>
    <xf fontId="4" fillId="9" borderId="2" numFmtId="0" xfId="0" applyFont="1" applyFill="1" applyBorder="1" applyAlignment="1">
      <alignment horizontal="center" vertical="center"/>
    </xf>
    <xf fontId="0" fillId="9" borderId="4" numFmtId="0" xfId="0" applyFill="1" applyBorder="1" applyAlignment="1">
      <alignment horizontal="left" vertical="center"/>
    </xf>
    <xf fontId="4" fillId="9" borderId="9" numFmtId="0" xfId="0" applyFont="1" applyFill="1" applyBorder="1" applyAlignment="1">
      <alignment horizontal="center" vertical="center"/>
    </xf>
    <xf fontId="6" fillId="0" borderId="10" numFmtId="0" xfId="2" applyFont="1" applyBorder="1" applyAlignment="1">
      <alignment horizontal="center" vertical="center"/>
    </xf>
    <xf fontId="4" fillId="9" borderId="4" numFmtId="0" xfId="0" applyFont="1" applyFill="1" applyBorder="1" applyAlignment="1">
      <alignment horizontal="center" vertical="center"/>
    </xf>
    <xf fontId="0" fillId="9" borderId="5" numFmtId="0" xfId="0" applyFill="1" applyBorder="1" applyAlignment="1">
      <alignment horizontal="left" vertical="center"/>
    </xf>
    <xf fontId="4" fillId="9" borderId="11" numFmtId="0" xfId="0" applyFont="1" applyFill="1" applyBorder="1" applyAlignment="1">
      <alignment horizontal="center" vertical="center"/>
    </xf>
    <xf fontId="6" fillId="0" borderId="12" numFmtId="0" xfId="2" applyFont="1" applyBorder="1" applyAlignment="1">
      <alignment horizontal="center" vertical="center"/>
    </xf>
    <xf fontId="4" fillId="9" borderId="5" numFmtId="0" xfId="0" applyFont="1" applyFill="1" applyBorder="1" applyAlignment="1">
      <alignment horizontal="center" vertical="center"/>
    </xf>
    <xf fontId="0" fillId="10" borderId="2" numFmtId="0" xfId="0" applyFill="1" applyBorder="1" applyAlignment="1">
      <alignment horizontal="left" vertical="center"/>
    </xf>
    <xf fontId="4" fillId="10" borderId="3" numFmtId="0" xfId="0" applyFont="1" applyFill="1" applyBorder="1" applyAlignment="1">
      <alignment horizontal="center" vertical="center"/>
    </xf>
    <xf fontId="6" fillId="0" borderId="8" numFmtId="0" xfId="2" applyFont="1" applyBorder="1" applyAlignment="1">
      <alignment horizontal="center" vertical="center"/>
    </xf>
    <xf fontId="4" fillId="10" borderId="2" numFmtId="0" xfId="0" applyFont="1" applyFill="1" applyBorder="1" applyAlignment="1">
      <alignment horizontal="center" vertical="center"/>
    </xf>
    <xf fontId="0" fillId="10" borderId="4" numFmtId="0" xfId="0" applyFill="1" applyBorder="1" applyAlignment="1">
      <alignment horizontal="left" vertical="center"/>
    </xf>
    <xf fontId="4" fillId="10" borderId="9" numFmtId="0" xfId="0" applyFont="1" applyFill="1" applyBorder="1" applyAlignment="1">
      <alignment horizontal="center" vertical="center"/>
    </xf>
    <xf fontId="4" fillId="10" borderId="4" numFmtId="0" xfId="0" applyFont="1" applyFill="1" applyBorder="1" applyAlignment="1">
      <alignment horizontal="center" vertical="center"/>
    </xf>
    <xf fontId="0" fillId="10" borderId="5" numFmtId="0" xfId="0" applyFill="1" applyBorder="1" applyAlignment="1">
      <alignment horizontal="left" vertical="center"/>
    </xf>
    <xf fontId="4" fillId="10" borderId="11" numFmtId="0" xfId="0" applyFont="1" applyFill="1" applyBorder="1" applyAlignment="1">
      <alignment horizontal="center" vertical="center"/>
    </xf>
    <xf fontId="4" fillId="10" borderId="5" numFmtId="0" xfId="0" applyFont="1" applyFill="1" applyBorder="1" applyAlignment="1">
      <alignment horizontal="center" vertical="center"/>
    </xf>
    <xf fontId="6" fillId="0" borderId="10" numFmtId="0" xfId="1" applyFont="1" applyBorder="1" applyAlignment="1">
      <alignment horizontal="center" vertical="center"/>
    </xf>
    <xf fontId="0" fillId="9" borderId="10" numFmtId="0" xfId="0" applyFill="1" applyBorder="1" applyAlignment="1">
      <alignment horizontal="left" vertical="center"/>
    </xf>
    <xf fontId="6" fillId="0" borderId="10" numFmtId="0" xfId="3" applyFont="1" applyBorder="1" applyAlignment="1">
      <alignment horizontal="center" vertical="center"/>
    </xf>
    <xf fontId="6" fillId="0" borderId="12" numFmtId="0" xfId="1" applyFont="1" applyBorder="1" applyAlignment="1">
      <alignment horizontal="center" vertical="center"/>
    </xf>
    <xf fontId="6" fillId="0" borderId="8" numFmtId="0" xfId="3" applyFont="1" applyBorder="1" applyAlignment="1">
      <alignment horizontal="center" vertical="center"/>
    </xf>
    <xf fontId="6" fillId="0" borderId="12" numFmtId="0" xfId="3" applyFont="1" applyBorder="1" applyAlignment="1">
      <alignment horizontal="center" vertical="center"/>
    </xf>
    <xf fontId="0" fillId="10" borderId="6" numFmtId="0" xfId="0" applyFill="1" applyBorder="1" applyAlignment="1">
      <alignment horizontal="left" vertical="center"/>
    </xf>
    <xf fontId="4" fillId="10" borderId="13" numFmtId="0" xfId="0" applyFont="1" applyFill="1" applyBorder="1" applyAlignment="1">
      <alignment horizontal="center" vertical="center"/>
    </xf>
    <xf fontId="6" fillId="0" borderId="14" numFmtId="0" xfId="2" applyFont="1" applyBorder="1" applyAlignment="1">
      <alignment horizontal="center" vertical="center"/>
    </xf>
    <xf fontId="4" fillId="10" borderId="6" numFmtId="0" xfId="0" applyFont="1" applyFill="1" applyBorder="1" applyAlignment="1">
      <alignment horizontal="center" vertical="center"/>
    </xf>
    <xf fontId="4" fillId="8" borderId="1" numFmtId="0" xfId="0" applyFont="1" applyFill="1" applyBorder="1" applyAlignment="1">
      <alignment horizontal="center"/>
    </xf>
    <xf fontId="4" fillId="8" borderId="7" numFmtId="0" xfId="0" applyFont="1" applyFill="1" applyBorder="1" applyAlignment="1">
      <alignment horizontal="center"/>
    </xf>
  </cellXfs>
  <cellStyles count="4">
    <cellStyle name="Normal" xfId="0" builtinId="0"/>
    <cellStyle name="Bad" xfId="1" builtinId="27"/>
    <cellStyle name="Neutral" xfId="2" builtinId="28"/>
    <cellStyle name="Good" xfId="3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microsoft.com/office/2017/10/relationships/person" Target="persons/person.xml"/><Relationship  Id="rId2" Type="http://schemas.openxmlformats.org/officeDocument/2006/relationships/worksheet" Target="worksheets/sheet1.xml"/><Relationship  Id="rId3" Type="http://schemas.openxmlformats.org/officeDocument/2006/relationships/theme" Target="theme/theme1.xml"/><Relationship  Id="rId4" Type="http://schemas.openxmlformats.org/officeDocument/2006/relationships/sharedStrings" Target="sharedStrings.xml"/><Relationship  Id="rId5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skingMansOz" id="{A36F4E31-68DB-11C5-CF8D-E4A86219E6FC}" userId="AskingMansOz" providerId="Teamlab"/>
</personList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4" dT="2026-09-19T09:13:08.03Z" personId="{A36F4E31-68DB-11C5-CF8D-E4A86219E6FC}" id="{04CB6911-E216-5FFA-A00E-331AF1FB8FD4}" done="0">
    <text xml:space="preserve">Mide la carga de trabajo del equipo con base en el promedio de puntos acumulados por los integrantes:
* Verde: Por debajo del promedio (menor carga).
* Amarillo: En el promedio exacto (carga equilibrada).
* Rojo: Por encima del promedio (sobrecarga de trabajo).
Lo ideal es que la carga de trabajo se mantengan cerca del promedio.
</text>
  </threadedComment>
  <threadedComment ref="D4" dT="2026-09-25T19:25:05.93Z" personId="{A36F4E31-68DB-11C5-CF8D-E4A86219E6FC}" id="{6A98EA58-EBE2-D560-1FEC-96EE11A8B0CE}" done="0">
    <text xml:space="preserve">21.6 x Persona
</text>
  </threadedComment>
</ThreadedComments>
</file>

<file path=xl/worksheets/_rels/sheet1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1.xml"/><Relationship  Id="rId2" Type="http://schemas.openxmlformats.org/officeDocument/2006/relationships/comments" Target="../comments1.xml"/><Relationship  Id="rId3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C1" zoomScale="100" workbookViewId="0">
      <selection activeCell="J12" activeCellId="0" sqref="J12"/>
    </sheetView>
  </sheetViews>
  <sheetFormatPr baseColWidth="10" defaultColWidth="8.88671875" defaultRowHeight="14.25"/>
  <cols>
    <col customWidth="1" min="2" max="2" width="33.28125"/>
    <col customWidth="1" min="3" max="3" width="17.140625"/>
    <col customWidth="1" min="4" max="4" width="47.7109375"/>
    <col bestFit="1" customWidth="1" min="5" max="5" style="1" width="11.34375"/>
    <col customWidth="1" min="6" max="6" width="27.00390625"/>
    <col customWidth="1" min="7" max="7" width="18.421875"/>
    <col bestFit="1" customWidth="1" min="8" max="8" width="11.421875"/>
    <col bestFit="1" min="9" max="9" width="11.421875"/>
    <col customWidth="1" min="10" max="10" width="20.28125"/>
    <col customWidth="1" min="11" max="11" width="19.421875"/>
    <col bestFit="1" min="12" max="12" width="18.77734375"/>
    <col customWidth="1" min="13" max="13" width="9.109375"/>
  </cols>
  <sheetData>
    <row r="2" ht="14.25">
      <c r="E2" s="1"/>
    </row>
    <row r="3" ht="17.399999999999999" customHeight="1">
      <c r="B3" s="2" t="s">
        <v>0</v>
      </c>
      <c r="C3" s="2" t="s">
        <v>1</v>
      </c>
      <c r="D3" s="3" t="s">
        <v>2</v>
      </c>
    </row>
    <row r="4" ht="14.25">
      <c r="B4" s="4" t="s">
        <v>3</v>
      </c>
      <c r="C4" s="5">
        <f t="shared" ref="C4:C8" si="0">SUMIF($F$13:$F$100,B4,$E$13:$E$100)</f>
        <v>21</v>
      </c>
      <c r="D4" s="6">
        <f t="shared" ref="D4:D8" si="1">COUNTIF($E$13:$F$100,B4)</f>
        <v>5</v>
      </c>
    </row>
    <row r="5">
      <c r="B5" s="7" t="s">
        <v>4</v>
      </c>
      <c r="C5" s="5">
        <f t="shared" si="0"/>
        <v>21</v>
      </c>
      <c r="D5" s="6">
        <f t="shared" si="1"/>
        <v>4</v>
      </c>
    </row>
    <row r="6" ht="42.75">
      <c r="B6" s="7" t="s">
        <v>5</v>
      </c>
      <c r="C6" s="5">
        <f t="shared" si="0"/>
        <v>20</v>
      </c>
      <c r="D6" s="6">
        <f t="shared" si="1"/>
        <v>5</v>
      </c>
    </row>
    <row r="7" ht="28.5">
      <c r="B7" s="7" t="s">
        <v>6</v>
      </c>
      <c r="C7" s="5">
        <f t="shared" si="0"/>
        <v>23</v>
      </c>
      <c r="D7" s="6">
        <f t="shared" si="1"/>
        <v>4</v>
      </c>
    </row>
    <row r="8" ht="28.5">
      <c r="B8" s="8" t="s">
        <v>7</v>
      </c>
      <c r="C8" s="5">
        <f t="shared" si="0"/>
        <v>23</v>
      </c>
      <c r="D8" s="9">
        <f t="shared" si="1"/>
        <v>4</v>
      </c>
      <c r="H8" s="10"/>
    </row>
    <row r="9" ht="28.5">
      <c r="B9" s="11" t="s">
        <v>8</v>
      </c>
      <c r="C9" s="12">
        <f>SUM(C4:C8)</f>
        <v>108</v>
      </c>
    </row>
    <row r="10" ht="15"/>
    <row r="11" ht="15.6"/>
    <row r="12" ht="17.399999999999999" customHeight="1">
      <c r="B12" s="2" t="s">
        <v>9</v>
      </c>
      <c r="C12" s="2" t="s">
        <v>10</v>
      </c>
      <c r="D12" s="2" t="s">
        <v>11</v>
      </c>
      <c r="E12" s="2" t="s">
        <v>12</v>
      </c>
      <c r="F12" s="2" t="s">
        <v>13</v>
      </c>
    </row>
    <row r="13" ht="71.25">
      <c r="B13" s="13" t="s">
        <v>14</v>
      </c>
      <c r="C13" s="14" t="s">
        <v>15</v>
      </c>
      <c r="D13" s="13" t="s">
        <v>16</v>
      </c>
      <c r="E13" s="15">
        <v>8</v>
      </c>
      <c r="F13" s="16" t="s">
        <v>4</v>
      </c>
    </row>
    <row r="14" ht="42.75">
      <c r="B14" s="17" t="s">
        <v>14</v>
      </c>
      <c r="C14" s="18" t="s">
        <v>17</v>
      </c>
      <c r="D14" s="17" t="s">
        <v>18</v>
      </c>
      <c r="E14" s="19">
        <v>5</v>
      </c>
      <c r="F14" s="20" t="s">
        <v>4</v>
      </c>
    </row>
    <row r="15" ht="71.25">
      <c r="B15" s="17" t="s">
        <v>14</v>
      </c>
      <c r="C15" s="18" t="s">
        <v>19</v>
      </c>
      <c r="D15" s="17" t="s">
        <v>20</v>
      </c>
      <c r="E15" s="19">
        <v>5</v>
      </c>
      <c r="F15" s="20" t="s">
        <v>3</v>
      </c>
    </row>
    <row r="16" ht="28.5">
      <c r="B16" s="17" t="s">
        <v>14</v>
      </c>
      <c r="C16" s="18" t="s">
        <v>21</v>
      </c>
      <c r="D16" s="17" t="s">
        <v>22</v>
      </c>
      <c r="E16" s="19">
        <v>5</v>
      </c>
      <c r="F16" s="20" t="s">
        <v>4</v>
      </c>
    </row>
    <row r="17" ht="71.25">
      <c r="B17" s="21" t="s">
        <v>14</v>
      </c>
      <c r="C17" s="22" t="s">
        <v>23</v>
      </c>
      <c r="D17" s="21" t="s">
        <v>24</v>
      </c>
      <c r="E17" s="23">
        <v>8</v>
      </c>
      <c r="F17" s="24" t="s">
        <v>6</v>
      </c>
    </row>
    <row r="18" ht="42.75">
      <c r="B18" s="25" t="s">
        <v>25</v>
      </c>
      <c r="C18" s="26" t="s">
        <v>26</v>
      </c>
      <c r="D18" s="25" t="s">
        <v>27</v>
      </c>
      <c r="E18" s="27">
        <v>5</v>
      </c>
      <c r="F18" s="28" t="s">
        <v>6</v>
      </c>
    </row>
    <row r="19" ht="57">
      <c r="B19" s="29" t="s">
        <v>25</v>
      </c>
      <c r="C19" s="30" t="s">
        <v>28</v>
      </c>
      <c r="D19" s="29" t="s">
        <v>29</v>
      </c>
      <c r="E19" s="19">
        <v>5</v>
      </c>
      <c r="F19" s="31" t="s">
        <v>6</v>
      </c>
    </row>
    <row r="20" ht="42.75">
      <c r="B20" s="29" t="s">
        <v>25</v>
      </c>
      <c r="C20" s="30" t="s">
        <v>30</v>
      </c>
      <c r="D20" s="29" t="s">
        <v>31</v>
      </c>
      <c r="E20" s="19">
        <v>5</v>
      </c>
      <c r="F20" s="31" t="s">
        <v>6</v>
      </c>
    </row>
    <row r="21" ht="57">
      <c r="B21" s="29" t="s">
        <v>25</v>
      </c>
      <c r="C21" s="30" t="s">
        <v>32</v>
      </c>
      <c r="D21" s="29" t="s">
        <v>33</v>
      </c>
      <c r="E21" s="19">
        <v>5</v>
      </c>
      <c r="F21" s="31" t="s">
        <v>5</v>
      </c>
    </row>
    <row r="22" ht="42.75">
      <c r="B22" s="29" t="s">
        <v>25</v>
      </c>
      <c r="C22" s="30" t="s">
        <v>34</v>
      </c>
      <c r="D22" s="29" t="s">
        <v>35</v>
      </c>
      <c r="E22" s="19">
        <v>5</v>
      </c>
      <c r="F22" s="31" t="s">
        <v>5</v>
      </c>
    </row>
    <row r="23" ht="57">
      <c r="B23" s="32" t="s">
        <v>25</v>
      </c>
      <c r="C23" s="33" t="s">
        <v>36</v>
      </c>
      <c r="D23" s="32" t="s">
        <v>37</v>
      </c>
      <c r="E23" s="23">
        <v>5</v>
      </c>
      <c r="F23" s="34" t="s">
        <v>5</v>
      </c>
    </row>
    <row r="24" ht="57">
      <c r="B24" s="13" t="s">
        <v>38</v>
      </c>
      <c r="C24" s="14" t="s">
        <v>39</v>
      </c>
      <c r="D24" s="13" t="s">
        <v>40</v>
      </c>
      <c r="E24" s="15">
        <v>5</v>
      </c>
      <c r="F24" s="16" t="s">
        <v>7</v>
      </c>
    </row>
    <row r="25" ht="57">
      <c r="B25" s="17" t="s">
        <v>38</v>
      </c>
      <c r="C25" s="18" t="s">
        <v>41</v>
      </c>
      <c r="D25" s="17" t="s">
        <v>42</v>
      </c>
      <c r="E25" s="35">
        <v>5</v>
      </c>
      <c r="F25" s="20" t="s">
        <v>7</v>
      </c>
    </row>
    <row r="26" ht="57">
      <c r="B26" s="17" t="s">
        <v>38</v>
      </c>
      <c r="C26" s="18" t="s">
        <v>43</v>
      </c>
      <c r="D26" s="36" t="s">
        <v>44</v>
      </c>
      <c r="E26" s="19">
        <v>5</v>
      </c>
      <c r="F26" s="20" t="s">
        <v>7</v>
      </c>
    </row>
    <row r="27" ht="57">
      <c r="B27" s="17" t="s">
        <v>38</v>
      </c>
      <c r="C27" s="18" t="s">
        <v>45</v>
      </c>
      <c r="D27" s="17" t="s">
        <v>46</v>
      </c>
      <c r="E27" s="37">
        <v>3</v>
      </c>
      <c r="F27" s="20" t="s">
        <v>3</v>
      </c>
    </row>
    <row r="28" ht="57">
      <c r="B28" s="21" t="s">
        <v>38</v>
      </c>
      <c r="C28" s="22" t="s">
        <v>47</v>
      </c>
      <c r="D28" s="21" t="s">
        <v>48</v>
      </c>
      <c r="E28" s="38">
        <v>8</v>
      </c>
      <c r="F28" s="24" t="s">
        <v>7</v>
      </c>
    </row>
    <row r="29" ht="42.75">
      <c r="B29" s="25" t="s">
        <v>49</v>
      </c>
      <c r="C29" s="26" t="s">
        <v>50</v>
      </c>
      <c r="D29" s="25" t="s">
        <v>51</v>
      </c>
      <c r="E29" s="39">
        <v>3</v>
      </c>
      <c r="F29" s="28" t="s">
        <v>5</v>
      </c>
    </row>
    <row r="30" ht="42.75">
      <c r="B30" s="32" t="s">
        <v>49</v>
      </c>
      <c r="C30" s="33" t="s">
        <v>52</v>
      </c>
      <c r="D30" s="32" t="s">
        <v>53</v>
      </c>
      <c r="E30" s="40">
        <v>3</v>
      </c>
      <c r="F30" s="34" t="s">
        <v>4</v>
      </c>
    </row>
    <row r="31" ht="57">
      <c r="B31" s="13" t="s">
        <v>54</v>
      </c>
      <c r="C31" s="14" t="s">
        <v>55</v>
      </c>
      <c r="D31" s="13" t="s">
        <v>56</v>
      </c>
      <c r="E31" s="15">
        <v>5</v>
      </c>
      <c r="F31" s="16" t="s">
        <v>3</v>
      </c>
    </row>
    <row r="32" ht="57">
      <c r="B32" s="17" t="s">
        <v>54</v>
      </c>
      <c r="C32" s="18" t="s">
        <v>57</v>
      </c>
      <c r="D32" s="17" t="s">
        <v>58</v>
      </c>
      <c r="E32" s="35">
        <v>5</v>
      </c>
      <c r="F32" s="20" t="s">
        <v>3</v>
      </c>
    </row>
    <row r="33" ht="42.75">
      <c r="B33" s="21" t="s">
        <v>54</v>
      </c>
      <c r="C33" s="22" t="s">
        <v>59</v>
      </c>
      <c r="D33" s="21" t="s">
        <v>60</v>
      </c>
      <c r="E33" s="40">
        <v>3</v>
      </c>
      <c r="F33" s="24" t="s">
        <v>3</v>
      </c>
    </row>
    <row r="34" ht="57">
      <c r="B34" s="41" t="s">
        <v>61</v>
      </c>
      <c r="C34" s="42" t="s">
        <v>62</v>
      </c>
      <c r="D34" s="41" t="s">
        <v>63</v>
      </c>
      <c r="E34" s="43">
        <v>2</v>
      </c>
      <c r="F34" s="44" t="s">
        <v>5</v>
      </c>
    </row>
    <row r="35" ht="14.25">
      <c r="D35" s="45" t="s">
        <v>8</v>
      </c>
      <c r="E35" s="46">
        <f>SUM(E13:E34)</f>
        <v>108</v>
      </c>
    </row>
  </sheetData>
  <sheetProtection algorithmName="SHA-512" hashValue="O5mJHy0ukKPOr8Di3KTpE44BwJOcp+orMlh9xO42OUOfF1wcVZ6DnHIurUGeuQ3cg6s+xSnWbMilRkzzE52hTw==" saltValue="ZHjE9ECT6JLGntzd65jL9g==" spinCount="100000" autoFilter="1" deleteColumns="1" deleteRows="1" formatCells="1" formatColumns="1" formatRows="1" insertColumns="1" insertHyperlinks="1" insertRows="1" objects="0" pivotTables="1" scenarios="0" selectLockedCells="0" selectUnlockedCells="0" sheet="1" sort="1"/>
  <dataValidations count="1" disablePrompts="0">
    <dataValidation sqref="B4:B8" type="none" allowBlank="1" errorStyle="stop" imeMode="noControl" operator="between" promptTitle="" showDropDown="0" showErrorMessage="1" showInputMessage="1"/>
  </dataValidation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8" operator="equal" id="{A491789D-33FE-4324-BC33-CF6B8CB06D32}">
            <xm:f>3</xm:f>
            <x14:dxf>
              <font>
                <color rgb="FF006100"/>
              </font>
            </x14:dxf>
          </x14:cfRule>
          <xm:sqref>E13:E34</xm:sqref>
        </x14:conditionalFormatting>
        <x14:conditionalFormatting xmlns:xm="http://schemas.microsoft.com/office/excel/2006/main">
          <x14:cfRule type="cellIs" priority="7" operator="lessThanOrEqual" id="{621659AE-3BB9-4F31-B6FD-E7E5C443857F}">
            <xm:f>3</xm:f>
            <x14:dxf>
              <font>
                <color rgb="FF006100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E13:E34</xm:sqref>
        </x14:conditionalFormatting>
        <x14:conditionalFormatting xmlns:xm="http://schemas.microsoft.com/office/excel/2006/main">
          <x14:cfRule type="cellIs" priority="6" operator="notBetween" id="{1CB83144-0E53-49D1-ACD6-5E9B38DCFEAA}">
            <xm:f>3</xm:f>
            <xm:f>8</xm:f>
            <x14:dxf>
              <font>
                <color rgb="FF9C5700"/>
              </font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E13:E34</xm:sqref>
        </x14:conditionalFormatting>
        <x14:conditionalFormatting xmlns:xm="http://schemas.microsoft.com/office/excel/2006/main">
          <x14:cfRule type="cellIs" priority="5" operator="between" id="{D9ECC498-759E-4113-AF0C-6FF6F5A0B5FA}">
            <xm:f>4</xm:f>
            <xm:f>7</xm:f>
            <x14:dxf>
              <font>
                <color rgb="FF9C5700"/>
              </font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E13:E34</xm:sqref>
        </x14:conditionalFormatting>
        <x14:conditionalFormatting xmlns:xm="http://schemas.microsoft.com/office/excel/2006/main">
          <x14:cfRule type="cellIs" priority="4" operator="greaterThanOrEqual" id="{C9C416E8-F46A-469F-B328-5E5348235630}">
            <xm:f>8</xm:f>
            <x14:dxf>
              <font>
                <color rgb="FF9C0006"/>
              </font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E13:E34</xm:sqref>
        </x14:conditionalFormatting>
        <x14:conditionalFormatting xmlns:xm="http://schemas.microsoft.com/office/excel/2006/main">
          <x14:cfRule type="aboveAverage" priority="3" stdDev="0" id="{DBCBFC1D-BC2D-4E42-92C6-5A4FA61E3E8D}">
            <x14:dxf>
              <font>
                <color rgb="FF9C0006"/>
              </font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C4:C8</xm:sqref>
        </x14:conditionalFormatting>
        <x14:conditionalFormatting xmlns:xm="http://schemas.microsoft.com/office/excel/2006/main">
          <x14:cfRule type="aboveAverage" priority="2" aboveAverage="0" stdDev="0" id="{755BB3AC-D42C-4BD3-88DC-81419C3E7F68}">
            <x14:dxf>
              <font>
                <color rgb="FF006100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C4:C8</xm:sqref>
        </x14:conditionalFormatting>
        <x14:conditionalFormatting xmlns:xm="http://schemas.microsoft.com/office/excel/2006/main">
          <x14:cfRule type="cellIs" priority="1" operator="lessThan" id="{543E6632-DA0C-419B-B3DA-03DDB1AE2DED}">
            <xm:f>5</xm:f>
            <x14:dxf>
              <font>
                <color rgb="FF006100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E34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 disablePrompts="0">
        <x14:dataValidation xr:uid="{22371375-5570-4B72-8497-72B6EB5465DB}" type="list" allowBlank="1" errorStyle="stop" imeMode="noControl" operator="between" showDropDown="0" showErrorMessage="1" showInputMessage="1">
          <x14:formula1>
            <xm:f>$B$4:$B$8</xm:f>
          </x14:formula1>
          <xm:sqref>F13:F34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AskingMansOz</dc:creator>
  <cp:revision>16</cp:revision>
  <dcterms:created xsi:type="dcterms:W3CDTF">2015-06-05T18:19:34Z</dcterms:created>
  <dcterms:modified xsi:type="dcterms:W3CDTF">2026-09-26T08:54:56Z</dcterms:modified>
</cp:coreProperties>
</file>