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eso Historias de Usuario" sheetId="1" state="visible" r:id="rId2"/>
  </sheets>
  <definedNames>
    <definedName name="solver_ver" localSheetId="0" hidden="1">3</definedName>
    <definedName name="solver_est" localSheetId="0" hidden="1">1</definedName>
    <definedName name="solver_nwt" localSheetId="0" hidden="1">1</definedName>
    <definedName name="solver_typ" localSheetId="0" hidden="1">1</definedName>
    <definedName name="solver_val" localSheetId="0" hidden="1">0</definedName>
    <definedName name="solver_neg" localSheetId="0" hidden="1">1</definedName>
    <definedName name="solver_eng" localSheetId="0" hidden="1">2</definedName>
    <definedName name="solver_pre" localSheetId="0" hidden="1">1</definedName>
    <definedName name="solver_scl" localSheetId="0" hidden="1">2</definedName>
    <definedName name="solver_tim" localSheetId="0" hidden="1">2147483647</definedName>
    <definedName name="solver_itr" localSheetId="0" hidden="1">2147483647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tc={04CB6911-E216-5FFA-A00E-331AF1FB8FD4}</author>
    <author>tc={6A98EA58-EBE2-D560-1FEC-96EE11A8B0CE}</author>
  </authors>
  <commentList>
    <comment ref="C4" authorId="0" xr:uid="{04CB6911-E216-5FFA-A00E-331AF1FB8FD4}">
      <text>
        <r>
          <rPr>
            <b/>
            <sz val="9"/>
            <rFont val="Tahoma"/>
          </rPr>
          <t>AskingMansOz:</t>
        </r>
        <r>
          <rPr>
            <sz val="9"/>
            <rFont val="Tahoma"/>
          </rPr>
          <t xml:space="preserve">
Mide la carga de trabajo del equipo con base en el promedio de puntos acumulados por los integrantes:
* Verde: Por debajo del promedio (menor carga).
* Amarillo: En el promedio exacto (carga equilibrada).
* Rojo: Por encima del promedio (sobrecarga de trabajo).
Lo ideal es que la carga de trabajo se mantengan cerca del promedio.
</t>
        </r>
      </text>
    </comment>
    <comment ref="D4" authorId="1" xr:uid="{6A98EA58-EBE2-D560-1FEC-96EE11A8B0CE}">
      <text>
        <r>
          <rPr>
            <b/>
            <sz val="9"/>
            <rFont val="Tahoma"/>
          </rPr>
          <t>AskingMansOz:</t>
        </r>
        <r>
          <rPr>
            <sz val="9"/>
            <rFont val="Tahoma"/>
          </rPr>
          <t xml:space="preserve">
21.6 x Persona
</t>
        </r>
      </text>
    </comment>
  </commentList>
</comments>
</file>

<file path=xl/sharedStrings.xml><?xml version="1.0" encoding="utf-8"?>
<sst xmlns="http://schemas.openxmlformats.org/spreadsheetml/2006/main" count="107" uniqueCount="107">
  <si>
    <t xml:space="preserve">Integrantes Proyecto</t>
  </si>
  <si>
    <t xml:space="preserve">Puntaje Obtenido</t>
  </si>
  <si>
    <t xml:space="preserve">Cantidad Historias de Usuario Asignadas</t>
  </si>
  <si>
    <t>Estados</t>
  </si>
  <si>
    <t xml:space="preserve">Sebastián Jiménez Arrieta</t>
  </si>
  <si>
    <t>Entregado</t>
  </si>
  <si>
    <t xml:space="preserve">Brandon Guido Navarro</t>
  </si>
  <si>
    <t xml:space="preserve">No Entregado</t>
  </si>
  <si>
    <t xml:space="preserve">Sebastián Obando Ramírez</t>
  </si>
  <si>
    <t xml:space="preserve">En Desarrollo</t>
  </si>
  <si>
    <t xml:space="preserve">Julián Solano Obando</t>
  </si>
  <si>
    <t xml:space="preserve">Anthony Gamboa Elizondo</t>
  </si>
  <si>
    <t>Total</t>
  </si>
  <si>
    <t>Modulo</t>
  </si>
  <si>
    <t>ID</t>
  </si>
  <si>
    <t xml:space="preserve">Historia de Usuario (Primer Sprint)</t>
  </si>
  <si>
    <t xml:space="preserve">Story Points</t>
  </si>
  <si>
    <t xml:space="preserve">Asignado a</t>
  </si>
  <si>
    <t>Estado</t>
  </si>
  <si>
    <t xml:space="preserve">Usuarios y roles</t>
  </si>
  <si>
    <t>USR1</t>
  </si>
  <si>
    <t xml:space="preserve">Servicio para Administrar Usuarios</t>
  </si>
  <si>
    <t>USR2</t>
  </si>
  <si>
    <t xml:space="preserve">Servicio para Administrar Roles</t>
  </si>
  <si>
    <t>USR3</t>
  </si>
  <si>
    <t xml:space="preserve">Servicio para Administrar Parametrización</t>
  </si>
  <si>
    <t>USR4</t>
  </si>
  <si>
    <t xml:space="preserve">Servicio para Administrar Módulos</t>
  </si>
  <si>
    <t>USR5</t>
  </si>
  <si>
    <t xml:space="preserve">Servicio para Login</t>
  </si>
  <si>
    <t xml:space="preserve">Oferta acádecima</t>
  </si>
  <si>
    <t>ACD1</t>
  </si>
  <si>
    <t xml:space="preserve">Servicio para Administrar Instituciones</t>
  </si>
  <si>
    <t>ACD2</t>
  </si>
  <si>
    <t xml:space="preserve">Servicio para Administrar Carreras</t>
  </si>
  <si>
    <t>ACD3</t>
  </si>
  <si>
    <t xml:space="preserve">Servicio para Administrar Cursos</t>
  </si>
  <si>
    <t>ACD4</t>
  </si>
  <si>
    <t xml:space="preserve">Servicio para Administrar Grupos</t>
  </si>
  <si>
    <t>ACD5</t>
  </si>
  <si>
    <t xml:space="preserve">Servicio para Administrar Periodos</t>
  </si>
  <si>
    <t>ACD6</t>
  </si>
  <si>
    <t xml:space="preserve">Servicio para Administrar Profesores</t>
  </si>
  <si>
    <t>Matrícula</t>
  </si>
  <si>
    <t>MAT1</t>
  </si>
  <si>
    <t xml:space="preserve">Servicio para Administrar Pre-Matrícula</t>
  </si>
  <si>
    <t>MAT2</t>
  </si>
  <si>
    <t xml:space="preserve">Servicio para Administrar Matrícula</t>
  </si>
  <si>
    <t>MAT3</t>
  </si>
  <si>
    <t xml:space="preserve">Servicio para Administrar Expedientes de Estudiantes</t>
  </si>
  <si>
    <t>MAT4</t>
  </si>
  <si>
    <t xml:space="preserve">Servicio para Administrar Direcciones</t>
  </si>
  <si>
    <t>MAT5</t>
  </si>
  <si>
    <t xml:space="preserve">Servicio para Admininstrar Notas</t>
  </si>
  <si>
    <t>Académico</t>
  </si>
  <si>
    <t>ACA1</t>
  </si>
  <si>
    <t xml:space="preserve">Servicio para Consultar Historial Académico</t>
  </si>
  <si>
    <t>ACA2</t>
  </si>
  <si>
    <t xml:space="preserve">Servicio para Consultar Listado de Estudiantes</t>
  </si>
  <si>
    <t xml:space="preserve">Integración de pagos y notificaciones</t>
  </si>
  <si>
    <t>IPN1</t>
  </si>
  <si>
    <t xml:space="preserve">Servicio para Administrar Facturación</t>
  </si>
  <si>
    <t>IPN2</t>
  </si>
  <si>
    <t xml:space="preserve">Servicio para Administrar Pagos</t>
  </si>
  <si>
    <t>IPN3</t>
  </si>
  <si>
    <t xml:space="preserve">Servicio para Gestiónar Notificaciones</t>
  </si>
  <si>
    <t>General</t>
  </si>
  <si>
    <t>GEN1</t>
  </si>
  <si>
    <t xml:space="preserve">Servicio para Registrar y Consultar Bitácoras</t>
  </si>
  <si>
    <t xml:space="preserve">Historia de Usuario (Segundo Sprint)</t>
  </si>
  <si>
    <t>Administración</t>
  </si>
  <si>
    <t>ADM1</t>
  </si>
  <si>
    <t>ADM2</t>
  </si>
  <si>
    <t>ADM3</t>
  </si>
  <si>
    <t>ADM4</t>
  </si>
  <si>
    <t>ADM5</t>
  </si>
  <si>
    <t>ADM6</t>
  </si>
  <si>
    <t>ADM7</t>
  </si>
  <si>
    <t>ADM8</t>
  </si>
  <si>
    <t>ADM9</t>
  </si>
  <si>
    <t>ADM10</t>
  </si>
  <si>
    <t>ADM11</t>
  </si>
  <si>
    <t>ADM12</t>
  </si>
  <si>
    <t>ADM13</t>
  </si>
  <si>
    <t>ADM14</t>
  </si>
  <si>
    <t>ADM15</t>
  </si>
  <si>
    <t>ADM16</t>
  </si>
  <si>
    <t>ADM17</t>
  </si>
  <si>
    <t>ADM18</t>
  </si>
  <si>
    <t>ADM19</t>
  </si>
  <si>
    <t>ADM20</t>
  </si>
  <si>
    <t>ADM21</t>
  </si>
  <si>
    <t>ADM22</t>
  </si>
  <si>
    <t>ADM23</t>
  </si>
  <si>
    <t>ADM24</t>
  </si>
  <si>
    <t xml:space="preserve">Historia de Usuario (Tercer Sprint)</t>
  </si>
  <si>
    <t>Mobile</t>
  </si>
  <si>
    <t>MOB0</t>
  </si>
  <si>
    <t>MOB1</t>
  </si>
  <si>
    <t>MOB2</t>
  </si>
  <si>
    <t>MOB3</t>
  </si>
  <si>
    <t>MOB4</t>
  </si>
  <si>
    <t>MOB5</t>
  </si>
  <si>
    <t>MOB6</t>
  </si>
  <si>
    <t>Gateway</t>
  </si>
  <si>
    <t>GTW1</t>
  </si>
  <si>
    <t>GTW2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</si>
</sst>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"/>
      <name val="Calibri"/>
      <scheme val="minor"/>
    </font>
    <font>
      <sz val="11.00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00B0F0"/>
        <bgColor rgb="FF00B0F0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 style="none"/>
      <right style="none"/>
      <top style="none"/>
      <bottom style="none"/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ck">
        <color auto="1"/>
      </left>
      <right style="thick">
        <color auto="1"/>
      </right>
      <top style="thin">
        <color theme="1"/>
      </top>
      <bottom style="thin">
        <color theme="1"/>
      </bottom>
      <diagonal style="none"/>
    </border>
    <border>
      <left style="thick">
        <color auto="1"/>
      </left>
      <right style="thick">
        <color auto="1"/>
      </right>
      <top style="thin">
        <color theme="1"/>
      </top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none"/>
      <bottom style="thick">
        <color auto="1"/>
      </bottom>
      <diagonal style="none"/>
    </border>
    <border>
      <left style="none"/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none"/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none"/>
      <top style="none"/>
      <bottom style="thin">
        <color theme="1"/>
      </bottom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ck">
        <color auto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ck">
        <color auto="1"/>
      </bottom>
      <diagonal style="none"/>
    </border>
    <border>
      <left style="thick">
        <color auto="1"/>
      </left>
      <right style="none"/>
      <top style="thin">
        <color theme="1"/>
      </top>
      <bottom style="thick">
        <color auto="1"/>
      </bottom>
      <diagonal style="none"/>
    </border>
    <border>
      <left style="none"/>
      <right style="none"/>
      <top style="none"/>
      <bottom style="thick">
        <color auto="1"/>
      </bottom>
      <diagonal style="none"/>
    </border>
    <border>
      <left style="thick">
        <color auto="1"/>
      </left>
      <right style="none"/>
      <top style="none"/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none"/>
      <diagonal style="none"/>
    </border>
    <border>
      <left style="thick">
        <color auto="1"/>
      </left>
      <right style="thick">
        <color auto="1"/>
      </right>
      <top style="none"/>
      <bottom style="none"/>
      <diagonal style="none"/>
    </border>
    <border>
      <left style="none"/>
      <right style="none"/>
      <top style="thick">
        <color auto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ck">
        <color auto="1"/>
      </right>
      <top style="none"/>
      <bottom style="thick">
        <color auto="1"/>
      </bottom>
      <diagonal style="none"/>
    </border>
  </borders>
  <cellStyleXfs count="4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0" numFmtId="0" applyNumberFormat="0" applyFont="1" applyFill="1" applyBorder="0"/>
  </cellStyleXfs>
  <cellXfs count="79">
    <xf fontId="0" fillId="0" borderId="0" numFmtId="0" xfId="0"/>
    <xf fontId="0" fillId="0" borderId="0" numFmtId="0" xfId="0" applyAlignment="1">
      <alignment horizontal="center"/>
    </xf>
    <xf fontId="4" fillId="5" borderId="1" numFmtId="0" xfId="0" applyFont="1" applyFill="1" applyBorder="1" applyAlignment="1">
      <alignment horizontal="center" vertical="center"/>
    </xf>
    <xf fontId="4" fillId="6" borderId="2" numFmtId="0" xfId="0" applyFont="1" applyFill="1" applyBorder="1" applyAlignment="1">
      <alignment horizontal="center" vertical="center"/>
    </xf>
    <xf fontId="2" fillId="3" borderId="3" numFmtId="0" xfId="2" applyFont="1" applyFill="1" applyBorder="1" applyAlignment="1">
      <alignment horizontal="center" vertical="center"/>
    </xf>
    <xf fontId="0" fillId="7" borderId="2" numFmtId="0" xfId="0" applyFill="1" applyBorder="1" applyAlignment="1">
      <alignment horizontal="center" vertical="center"/>
    </xf>
    <xf fontId="3" fillId="4" borderId="2" numFmtId="0" xfId="3" applyFont="1" applyFill="1" applyBorder="1" applyAlignment="1">
      <alignment horizontal="center" vertical="center"/>
    </xf>
    <xf fontId="4" fillId="6" borderId="4" numFmtId="0" xfId="0" applyFont="1" applyFill="1" applyBorder="1" applyAlignment="1">
      <alignment horizontal="center" vertical="center"/>
    </xf>
    <xf fontId="1" fillId="2" borderId="4" numFmtId="0" xfId="1" applyFont="1" applyFill="1" applyBorder="1" applyAlignment="1">
      <alignment horizontal="center" vertical="center"/>
    </xf>
    <xf fontId="2" fillId="3" borderId="5" numFmtId="0" xfId="2" applyFont="1" applyFill="1" applyBorder="1" applyAlignment="1">
      <alignment horizontal="center" vertical="center"/>
    </xf>
    <xf fontId="4" fillId="6" borderId="5" numFmtId="0" xfId="0" applyFont="1" applyFill="1" applyBorder="1" applyAlignment="1">
      <alignment horizontal="center" vertical="center"/>
    </xf>
    <xf fontId="0" fillId="7" borderId="6" numFmtId="0" xfId="0" applyFill="1" applyBorder="1" applyAlignment="1">
      <alignment horizontal="center" vertical="center"/>
    </xf>
    <xf fontId="5" fillId="0" borderId="0" numFmtId="0" xfId="0" applyFont="1"/>
    <xf fontId="4" fillId="8" borderId="1" numFmtId="0" xfId="0" applyFont="1" applyFill="1" applyBorder="1" applyAlignment="1">
      <alignment horizontal="center" vertical="center"/>
    </xf>
    <xf fontId="4" fillId="8" borderId="7" numFmtId="0" xfId="0" applyFont="1" applyFill="1" applyBorder="1" applyAlignment="1">
      <alignment horizontal="center" vertical="center"/>
    </xf>
    <xf fontId="0" fillId="0" borderId="0" numFmtId="0" xfId="0" applyAlignment="1">
      <alignment horizontal="center" vertical="center"/>
    </xf>
    <xf fontId="4" fillId="5" borderId="8" numFmtId="0" xfId="0" applyFont="1" applyFill="1" applyBorder="1" applyAlignment="1">
      <alignment horizontal="center" vertical="center"/>
    </xf>
    <xf fontId="0" fillId="9" borderId="2" numFmtId="0" xfId="0" applyFill="1" applyBorder="1" applyAlignment="1">
      <alignment horizontal="left" vertical="center"/>
    </xf>
    <xf fontId="4" fillId="9" borderId="3" numFmtId="0" xfId="0" applyFont="1" applyFill="1" applyBorder="1" applyAlignment="1">
      <alignment horizontal="center" vertical="center"/>
    </xf>
    <xf fontId="6" fillId="0" borderId="9" numFmtId="0" xfId="1" applyFont="1" applyBorder="1" applyAlignment="1">
      <alignment horizontal="center" vertical="center"/>
    </xf>
    <xf fontId="4" fillId="9" borderId="9" numFmtId="0" xfId="0" applyFont="1" applyFill="1" applyBorder="1" applyAlignment="1">
      <alignment horizontal="center" vertical="center"/>
    </xf>
    <xf fontId="0" fillId="10" borderId="10" numFmtId="0" xfId="0" applyFill="1" applyBorder="1" applyAlignment="1">
      <alignment horizontal="center" vertical="center"/>
    </xf>
    <xf fontId="0" fillId="9" borderId="4" numFmtId="0" xfId="0" applyFill="1" applyBorder="1" applyAlignment="1">
      <alignment horizontal="left" vertical="center"/>
    </xf>
    <xf fontId="4" fillId="9" borderId="11" numFmtId="0" xfId="0" applyFont="1" applyFill="1" applyBorder="1" applyAlignment="1">
      <alignment horizontal="center" vertical="center"/>
    </xf>
    <xf fontId="6" fillId="0" borderId="12" numFmtId="0" xfId="2" applyFont="1" applyBorder="1" applyAlignment="1">
      <alignment horizontal="center" vertical="center"/>
    </xf>
    <xf fontId="4" fillId="9" borderId="12" numFmtId="0" xfId="0" applyFont="1" applyFill="1" applyBorder="1" applyAlignment="1">
      <alignment horizontal="center" vertical="center"/>
    </xf>
    <xf fontId="0" fillId="10" borderId="4" numFmtId="0" xfId="0" applyFill="1" applyBorder="1" applyAlignment="1">
      <alignment horizontal="center" vertical="center"/>
    </xf>
    <xf fontId="0" fillId="9" borderId="5" numFmtId="0" xfId="0" applyFill="1" applyBorder="1" applyAlignment="1">
      <alignment horizontal="left" vertical="center"/>
    </xf>
    <xf fontId="4" fillId="9" borderId="13" numFmtId="0" xfId="0" applyFont="1" applyFill="1" applyBorder="1" applyAlignment="1">
      <alignment horizontal="center" vertical="center"/>
    </xf>
    <xf fontId="6" fillId="0" borderId="14" numFmtId="0" xfId="2" applyFont="1" applyBorder="1" applyAlignment="1">
      <alignment horizontal="center" vertical="center"/>
    </xf>
    <xf fontId="4" fillId="9" borderId="14" numFmtId="0" xfId="0" applyFont="1" applyFill="1" applyBorder="1" applyAlignment="1">
      <alignment horizontal="center" vertical="center"/>
    </xf>
    <xf fontId="0" fillId="10" borderId="5" numFmtId="0" xfId="0" applyFill="1" applyBorder="1" applyAlignment="1">
      <alignment horizontal="center" vertical="center"/>
    </xf>
    <xf fontId="0" fillId="11" borderId="2" numFmtId="0" xfId="0" applyFill="1" applyBorder="1" applyAlignment="1">
      <alignment horizontal="left" vertical="center"/>
    </xf>
    <xf fontId="4" fillId="11" borderId="3" numFmtId="0" xfId="0" applyFont="1" applyFill="1" applyBorder="1" applyAlignment="1">
      <alignment horizontal="center" vertical="center"/>
    </xf>
    <xf fontId="6" fillId="0" borderId="9" numFmtId="0" xfId="2" applyFont="1" applyBorder="1" applyAlignment="1">
      <alignment horizontal="center" vertical="center"/>
    </xf>
    <xf fontId="4" fillId="11" borderId="9" numFmtId="0" xfId="0" applyFont="1" applyFill="1" applyBorder="1" applyAlignment="1">
      <alignment horizontal="center" vertical="center"/>
    </xf>
    <xf fontId="0" fillId="10" borderId="2" numFmtId="0" xfId="0" applyFill="1" applyBorder="1" applyAlignment="1">
      <alignment horizontal="center" vertical="center"/>
    </xf>
    <xf fontId="0" fillId="11" borderId="4" numFmtId="0" xfId="0" applyFill="1" applyBorder="1" applyAlignment="1">
      <alignment horizontal="left" vertical="center"/>
    </xf>
    <xf fontId="4" fillId="11" borderId="11" numFmtId="0" xfId="0" applyFont="1" applyFill="1" applyBorder="1" applyAlignment="1">
      <alignment horizontal="center" vertical="center"/>
    </xf>
    <xf fontId="4" fillId="11" borderId="12" numFmtId="0" xfId="0" applyFont="1" applyFill="1" applyBorder="1" applyAlignment="1">
      <alignment horizontal="center" vertical="center"/>
    </xf>
    <xf fontId="0" fillId="11" borderId="5" numFmtId="0" xfId="0" applyFill="1" applyBorder="1" applyAlignment="1">
      <alignment horizontal="left" vertical="center"/>
    </xf>
    <xf fontId="4" fillId="11" borderId="13" numFmtId="0" xfId="0" applyFont="1" applyFill="1" applyBorder="1" applyAlignment="1">
      <alignment horizontal="center" vertical="center"/>
    </xf>
    <xf fontId="4" fillId="11" borderId="14" numFmtId="0" xfId="0" applyFont="1" applyFill="1" applyBorder="1" applyAlignment="1">
      <alignment horizontal="center" vertical="center"/>
    </xf>
    <xf fontId="6" fillId="0" borderId="12" numFmtId="0" xfId="1" applyFont="1" applyBorder="1" applyAlignment="1">
      <alignment horizontal="center" vertical="center"/>
    </xf>
    <xf fontId="0" fillId="9" borderId="12" numFmtId="0" xfId="0" applyFill="1" applyBorder="1" applyAlignment="1">
      <alignment horizontal="left" vertical="center"/>
    </xf>
    <xf fontId="6" fillId="0" borderId="12" numFmtId="0" xfId="3" applyFont="1" applyBorder="1" applyAlignment="1">
      <alignment horizontal="center" vertical="center"/>
    </xf>
    <xf fontId="6" fillId="0" borderId="14" numFmtId="0" xfId="1" applyFont="1" applyBorder="1" applyAlignment="1">
      <alignment horizontal="center" vertical="center"/>
    </xf>
    <xf fontId="6" fillId="0" borderId="9" numFmtId="0" xfId="3" applyFont="1" applyBorder="1" applyAlignment="1">
      <alignment horizontal="center" vertical="center"/>
    </xf>
    <xf fontId="6" fillId="0" borderId="14" numFmtId="0" xfId="3" applyFont="1" applyBorder="1" applyAlignment="1">
      <alignment horizontal="center" vertical="center"/>
    </xf>
    <xf fontId="0" fillId="11" borderId="6" numFmtId="0" xfId="0" applyFill="1" applyBorder="1" applyAlignment="1">
      <alignment horizontal="left" vertical="center"/>
    </xf>
    <xf fontId="4" fillId="11" borderId="15" numFmtId="0" xfId="0" applyFont="1" applyFill="1" applyBorder="1" applyAlignment="1">
      <alignment horizontal="center" vertical="center"/>
    </xf>
    <xf fontId="6" fillId="0" borderId="16" numFmtId="0" xfId="2" applyFont="1" applyBorder="1" applyAlignment="1">
      <alignment horizontal="center" vertical="center"/>
    </xf>
    <xf fontId="4" fillId="11" borderId="16" numFmtId="0" xfId="0" applyFont="1" applyFill="1" applyBorder="1" applyAlignment="1">
      <alignment horizontal="center" vertical="center"/>
    </xf>
    <xf fontId="0" fillId="10" borderId="6" numFmtId="0" xfId="0" applyFill="1" applyBorder="1" applyAlignment="1">
      <alignment horizontal="center" vertical="center"/>
    </xf>
    <xf fontId="0" fillId="9" borderId="10" numFmtId="0" xfId="0" applyFill="1" applyBorder="1" applyAlignment="1">
      <alignment horizontal="left" vertical="center"/>
    </xf>
    <xf fontId="4" fillId="9" borderId="10" numFmtId="0" xfId="0" applyFont="1" applyFill="1" applyBorder="1" applyAlignment="1">
      <alignment horizontal="center" vertical="center"/>
    </xf>
    <xf fontId="0" fillId="9" borderId="10" numFmtId="0" xfId="0" applyFill="1" applyBorder="1" applyAlignment="1">
      <alignment horizontal="left" vertical="center"/>
    </xf>
    <xf fontId="6" fillId="0" borderId="10" numFmtId="0" xfId="1" applyFont="1" applyBorder="1" applyAlignment="1">
      <alignment horizontal="center" vertical="center"/>
    </xf>
    <xf fontId="0" fillId="9" borderId="4" numFmtId="0" xfId="0" applyFill="1" applyBorder="1" applyAlignment="1">
      <alignment horizontal="left" vertical="center"/>
    </xf>
    <xf fontId="4" fillId="9" borderId="4" numFmtId="0" xfId="0" applyFont="1" applyFill="1" applyBorder="1" applyAlignment="1">
      <alignment horizontal="center" vertical="center"/>
    </xf>
    <xf fontId="6" fillId="0" borderId="4" numFmtId="0" xfId="1" applyFont="1" applyBorder="1" applyAlignment="1">
      <alignment horizontal="center" vertical="center"/>
    </xf>
    <xf fontId="6" fillId="0" borderId="4" numFmtId="0" xfId="2" applyFont="1" applyBorder="1" applyAlignment="1">
      <alignment horizontal="center" vertical="center"/>
    </xf>
    <xf fontId="6" fillId="0" borderId="4" numFmtId="0" xfId="3" applyFont="1" applyBorder="1" applyAlignment="1">
      <alignment horizontal="center" vertical="center"/>
    </xf>
    <xf fontId="0" fillId="9" borderId="5" numFmtId="0" xfId="0" applyFill="1" applyBorder="1" applyAlignment="1">
      <alignment horizontal="left" vertical="center"/>
    </xf>
    <xf fontId="4" fillId="9" borderId="5" numFmtId="0" xfId="0" applyFont="1" applyFill="1" applyBorder="1" applyAlignment="1">
      <alignment horizontal="center" vertical="center"/>
    </xf>
    <xf fontId="6" fillId="0" borderId="5" numFmtId="0" xfId="1" applyFont="1" applyBorder="1" applyAlignment="1">
      <alignment horizontal="center" vertical="center"/>
    </xf>
    <xf fontId="4" fillId="0" borderId="0" numFmtId="0" xfId="0" applyFont="1" applyAlignment="1">
      <alignment horizontal="center" vertical="center"/>
    </xf>
    <xf fontId="4" fillId="5" borderId="17" numFmtId="0" xfId="0" applyFont="1" applyFill="1" applyBorder="1" applyAlignment="1">
      <alignment horizontal="center" vertical="center"/>
    </xf>
    <xf fontId="4" fillId="5" borderId="18" numFmtId="0" xfId="0" applyFont="1" applyFill="1" applyBorder="1" applyAlignment="1">
      <alignment horizontal="center" vertical="center"/>
    </xf>
    <xf fontId="0" fillId="0" borderId="0" numFmtId="0" xfId="0">
      <protection hidden="0" locked="1"/>
    </xf>
    <xf fontId="0" fillId="9" borderId="19" numFmtId="0" xfId="0" applyFill="1" applyBorder="1" applyAlignment="1">
      <alignment horizontal="left" vertical="center"/>
    </xf>
    <xf fontId="0" fillId="0" borderId="0" numFmtId="0" xfId="0">
      <protection hidden="0" locked="1"/>
    </xf>
    <xf fontId="0" fillId="9" borderId="11" numFmtId="0" xfId="0" applyFill="1" applyBorder="1" applyAlignment="1">
      <alignment horizontal="left" vertical="center"/>
    </xf>
    <xf fontId="0" fillId="9" borderId="20" numFmtId="0" xfId="0" applyFill="1" applyBorder="1" applyAlignment="1">
      <alignment horizontal="left" vertical="center"/>
    </xf>
    <xf fontId="0" fillId="11" borderId="10" numFmtId="0" xfId="0" applyFill="1" applyBorder="1" applyAlignment="1">
      <alignment horizontal="left" vertical="center"/>
    </xf>
    <xf fontId="0" fillId="11" borderId="10" numFmtId="0" xfId="0" applyFill="1" applyBorder="1" applyAlignment="1">
      <alignment horizontal="left" vertical="center"/>
    </xf>
    <xf fontId="0" fillId="11" borderId="5" numFmtId="0" xfId="0" applyFill="1" applyBorder="1" applyAlignment="1">
      <alignment horizontal="left" vertical="center"/>
    </xf>
    <xf fontId="4" fillId="8" borderId="6" numFmtId="0" xfId="0" applyFont="1" applyFill="1" applyBorder="1" applyAlignment="1">
      <alignment horizontal="center"/>
    </xf>
    <xf fontId="4" fillId="8" borderId="21" numFmtId="0" xfId="0" applyFont="1" applyFill="1" applyBorder="1" applyAlignment="1">
      <alignment horizontal="center"/>
    </xf>
  </cellXfs>
  <cellStyles count="4">
    <cellStyle name="Normal" xfId="0" builtinId="0"/>
    <cellStyle name="Bad" xfId="1" builtinId="27"/>
    <cellStyle name="Neutral" xfId="2" builtinId="28"/>
    <cellStyle name="Good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kingMansOz" id="{B0EB0FF8-EFF9-D70C-66D6-B6B80F94BA20}" userId="AskingMansOz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09-19T09:13:08.03Z" personId="{B0EB0FF8-EFF9-D70C-66D6-B6B80F94BA20}" id="{04CB6911-E216-5FFA-A00E-331AF1FB8FD4}" done="1">
    <text xml:space="preserve">Mide la carga de trabajo del equipo con base en el promedio de puntos acumulados por los integrantes:
* Verde: Por debajo del promedio (menor carga).
* Amarillo: En el promedio exacto (carga equilibrada).
* Rojo: Por encima del promedio (sobrecarga de trabajo).
Lo ideal es que la carga de trabajo se mantengan cerca del promedio.
</text>
  </threadedComment>
  <threadedComment ref="D4" dT="2026-09-25T19:25:05.93Z" personId="{B0EB0FF8-EFF9-D70C-66D6-B6B80F94BA20}" id="{6A98EA58-EBE2-D560-1FEC-96EE11A8B0CE}" done="1">
    <text xml:space="preserve">21.6 x Persona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7" zoomScale="100" workbookViewId="0">
      <selection activeCell="J12" activeCellId="0" sqref="J12"/>
    </sheetView>
  </sheetViews>
  <sheetFormatPr baseColWidth="10" defaultColWidth="8.88671875" defaultRowHeight="14.25"/>
  <cols>
    <col customWidth="1" min="2" max="2" width="33.28125"/>
    <col customWidth="1" min="3" max="3" width="17.140625"/>
    <col customWidth="1" min="4" max="4" width="49.28125"/>
    <col customWidth="1" min="5" max="5" style="1" width="12.140625"/>
    <col customWidth="1" min="6" max="6" width="27.00390625"/>
    <col customWidth="1" min="7" max="7" width="18.421875"/>
    <col bestFit="1" customWidth="1" min="8" max="8" width="11.421875"/>
    <col bestFit="1" min="9" max="9" width="11.421875"/>
    <col customWidth="1" min="10" max="10" width="20.28125"/>
    <col customWidth="1" min="11" max="11" width="19.421875"/>
    <col bestFit="1" min="12" max="12" width="18.77734375"/>
    <col customWidth="1" min="13" max="13" width="9.109375"/>
  </cols>
  <sheetData>
    <row r="2" ht="14.25">
      <c r="E2" s="1"/>
    </row>
    <row r="3" ht="17.399999999999999" customHeight="1">
      <c r="B3" s="2" t="s">
        <v>0</v>
      </c>
      <c r="C3" s="2" t="s">
        <v>1</v>
      </c>
      <c r="D3" s="2" t="s">
        <v>2</v>
      </c>
      <c r="F3" s="2" t="s">
        <v>3</v>
      </c>
    </row>
    <row r="4" ht="14.25">
      <c r="B4" s="3" t="s">
        <v>4</v>
      </c>
      <c r="C4" s="4">
        <f>SUMIF($F$13:$F$135,B4,$E$13:$E$135)</f>
        <v>21</v>
      </c>
      <c r="D4" s="5">
        <f>COUNTIF($E$13:$F$135,B4)</f>
        <v>5</v>
      </c>
      <c r="F4" s="6" t="s">
        <v>5</v>
      </c>
    </row>
    <row r="5">
      <c r="B5" s="7" t="s">
        <v>6</v>
      </c>
      <c r="C5" s="4">
        <f>SUMIF($F$13:$F$135,B5,$E$13:$E$135)</f>
        <v>21</v>
      </c>
      <c r="D5" s="5">
        <f>COUNTIF($E$13:$F$135,B5)</f>
        <v>4</v>
      </c>
      <c r="F5" s="8" t="s">
        <v>7</v>
      </c>
    </row>
    <row r="6" ht="42.75">
      <c r="B6" s="7" t="s">
        <v>8</v>
      </c>
      <c r="C6" s="4">
        <f>SUMIF($F$13:$F$135,B6,$E$13:$E$135)</f>
        <v>20</v>
      </c>
      <c r="D6" s="5">
        <f>COUNTIF($E$13:$F$135,B6)</f>
        <v>5</v>
      </c>
      <c r="F6" s="9" t="s">
        <v>9</v>
      </c>
    </row>
    <row r="7" ht="28.5">
      <c r="B7" s="7" t="s">
        <v>10</v>
      </c>
      <c r="C7" s="4">
        <f>SUMIF($F$13:$F$135,B7,$E$13:$E$135)</f>
        <v>23</v>
      </c>
      <c r="D7" s="5">
        <f>COUNTIF($E$13:$F$135,B7)</f>
        <v>4</v>
      </c>
    </row>
    <row r="8" ht="28.5">
      <c r="B8" s="10" t="s">
        <v>11</v>
      </c>
      <c r="C8" s="4">
        <f>SUMIF($F$13:$F$135,B8,$E$13:$E$135)</f>
        <v>23</v>
      </c>
      <c r="D8" s="11">
        <f>COUNTIF($E$13:$F$135,B8)</f>
        <v>4</v>
      </c>
      <c r="H8" s="12"/>
    </row>
    <row r="9" ht="28.5">
      <c r="B9" s="13" t="s">
        <v>12</v>
      </c>
      <c r="C9" s="14">
        <f>SUM(C4:C8)</f>
        <v>108</v>
      </c>
    </row>
    <row r="10" ht="15"/>
    <row r="11" ht="15.6"/>
    <row r="12" s="15" customFormat="1" ht="17.399999999999999" customHeight="1">
      <c r="B12" s="2" t="s">
        <v>13</v>
      </c>
      <c r="C12" s="2" t="s">
        <v>14</v>
      </c>
      <c r="D12" s="2" t="s">
        <v>15</v>
      </c>
      <c r="E12" s="2" t="s">
        <v>16</v>
      </c>
      <c r="F12" s="16" t="s">
        <v>17</v>
      </c>
      <c r="G12" s="2" t="s">
        <v>18</v>
      </c>
    </row>
    <row r="13" ht="71.25">
      <c r="B13" s="17" t="s">
        <v>19</v>
      </c>
      <c r="C13" s="18" t="s">
        <v>20</v>
      </c>
      <c r="D13" s="17" t="s">
        <v>21</v>
      </c>
      <c r="E13" s="19">
        <v>8</v>
      </c>
      <c r="F13" s="20" t="s">
        <v>6</v>
      </c>
      <c r="G13" s="21" t="s">
        <v>5</v>
      </c>
    </row>
    <row r="14" ht="42.75">
      <c r="B14" s="22" t="s">
        <v>19</v>
      </c>
      <c r="C14" s="23" t="s">
        <v>22</v>
      </c>
      <c r="D14" s="22" t="s">
        <v>23</v>
      </c>
      <c r="E14" s="24">
        <v>5</v>
      </c>
      <c r="F14" s="25" t="s">
        <v>6</v>
      </c>
      <c r="G14" s="26" t="s">
        <v>5</v>
      </c>
    </row>
    <row r="15" ht="71.25">
      <c r="B15" s="22" t="s">
        <v>19</v>
      </c>
      <c r="C15" s="23" t="s">
        <v>24</v>
      </c>
      <c r="D15" s="22" t="s">
        <v>25</v>
      </c>
      <c r="E15" s="24">
        <v>5</v>
      </c>
      <c r="F15" s="25" t="s">
        <v>4</v>
      </c>
      <c r="G15" s="26" t="s">
        <v>5</v>
      </c>
    </row>
    <row r="16" ht="28.5">
      <c r="B16" s="22" t="s">
        <v>19</v>
      </c>
      <c r="C16" s="23" t="s">
        <v>26</v>
      </c>
      <c r="D16" s="22" t="s">
        <v>27</v>
      </c>
      <c r="E16" s="24">
        <v>5</v>
      </c>
      <c r="F16" s="25" t="s">
        <v>6</v>
      </c>
      <c r="G16" s="26" t="s">
        <v>5</v>
      </c>
    </row>
    <row r="17" ht="71.25">
      <c r="B17" s="27" t="s">
        <v>19</v>
      </c>
      <c r="C17" s="28" t="s">
        <v>28</v>
      </c>
      <c r="D17" s="27" t="s">
        <v>29</v>
      </c>
      <c r="E17" s="29">
        <v>8</v>
      </c>
      <c r="F17" s="30" t="s">
        <v>10</v>
      </c>
      <c r="G17" s="31" t="s">
        <v>5</v>
      </c>
    </row>
    <row r="18" ht="42.75">
      <c r="B18" s="32" t="s">
        <v>30</v>
      </c>
      <c r="C18" s="33" t="s">
        <v>31</v>
      </c>
      <c r="D18" s="32" t="s">
        <v>32</v>
      </c>
      <c r="E18" s="34">
        <v>5</v>
      </c>
      <c r="F18" s="35" t="s">
        <v>10</v>
      </c>
      <c r="G18" s="36" t="s">
        <v>5</v>
      </c>
    </row>
    <row r="19" ht="57">
      <c r="B19" s="37" t="s">
        <v>30</v>
      </c>
      <c r="C19" s="38" t="s">
        <v>33</v>
      </c>
      <c r="D19" s="37" t="s">
        <v>34</v>
      </c>
      <c r="E19" s="24">
        <v>5</v>
      </c>
      <c r="F19" s="39" t="s">
        <v>10</v>
      </c>
      <c r="G19" s="26" t="s">
        <v>5</v>
      </c>
    </row>
    <row r="20" ht="42.75">
      <c r="B20" s="37" t="s">
        <v>30</v>
      </c>
      <c r="C20" s="38" t="s">
        <v>35</v>
      </c>
      <c r="D20" s="37" t="s">
        <v>36</v>
      </c>
      <c r="E20" s="24">
        <v>5</v>
      </c>
      <c r="F20" s="39" t="s">
        <v>10</v>
      </c>
      <c r="G20" s="26" t="s">
        <v>5</v>
      </c>
    </row>
    <row r="21" ht="57">
      <c r="B21" s="37" t="s">
        <v>30</v>
      </c>
      <c r="C21" s="38" t="s">
        <v>37</v>
      </c>
      <c r="D21" s="37" t="s">
        <v>38</v>
      </c>
      <c r="E21" s="24">
        <v>5</v>
      </c>
      <c r="F21" s="39" t="s">
        <v>8</v>
      </c>
      <c r="G21" s="26" t="s">
        <v>5</v>
      </c>
    </row>
    <row r="22" ht="42.75">
      <c r="B22" s="37" t="s">
        <v>30</v>
      </c>
      <c r="C22" s="38" t="s">
        <v>39</v>
      </c>
      <c r="D22" s="37" t="s">
        <v>40</v>
      </c>
      <c r="E22" s="24">
        <v>5</v>
      </c>
      <c r="F22" s="39" t="s">
        <v>8</v>
      </c>
      <c r="G22" s="26" t="s">
        <v>5</v>
      </c>
    </row>
    <row r="23" ht="57">
      <c r="B23" s="40" t="s">
        <v>30</v>
      </c>
      <c r="C23" s="41" t="s">
        <v>41</v>
      </c>
      <c r="D23" s="40" t="s">
        <v>42</v>
      </c>
      <c r="E23" s="29">
        <v>5</v>
      </c>
      <c r="F23" s="42" t="s">
        <v>8</v>
      </c>
      <c r="G23" s="31" t="s">
        <v>5</v>
      </c>
    </row>
    <row r="24" ht="57">
      <c r="B24" s="17" t="s">
        <v>43</v>
      </c>
      <c r="C24" s="18" t="s">
        <v>44</v>
      </c>
      <c r="D24" s="17" t="s">
        <v>45</v>
      </c>
      <c r="E24" s="19">
        <v>5</v>
      </c>
      <c r="F24" s="20" t="s">
        <v>11</v>
      </c>
      <c r="G24" s="36" t="s">
        <v>5</v>
      </c>
    </row>
    <row r="25" ht="57">
      <c r="B25" s="22" t="s">
        <v>43</v>
      </c>
      <c r="C25" s="23" t="s">
        <v>46</v>
      </c>
      <c r="D25" s="22" t="s">
        <v>47</v>
      </c>
      <c r="E25" s="43">
        <v>5</v>
      </c>
      <c r="F25" s="25" t="s">
        <v>11</v>
      </c>
      <c r="G25" s="26" t="s">
        <v>5</v>
      </c>
    </row>
    <row r="26" ht="57">
      <c r="B26" s="22" t="s">
        <v>43</v>
      </c>
      <c r="C26" s="23" t="s">
        <v>48</v>
      </c>
      <c r="D26" s="44" t="s">
        <v>49</v>
      </c>
      <c r="E26" s="24">
        <v>5</v>
      </c>
      <c r="F26" s="25" t="s">
        <v>11</v>
      </c>
      <c r="G26" s="26" t="s">
        <v>5</v>
      </c>
    </row>
    <row r="27" ht="57">
      <c r="B27" s="22" t="s">
        <v>43</v>
      </c>
      <c r="C27" s="23" t="s">
        <v>50</v>
      </c>
      <c r="D27" s="22" t="s">
        <v>51</v>
      </c>
      <c r="E27" s="45">
        <v>3</v>
      </c>
      <c r="F27" s="25" t="s">
        <v>4</v>
      </c>
      <c r="G27" s="26" t="s">
        <v>5</v>
      </c>
    </row>
    <row r="28" ht="57">
      <c r="B28" s="27" t="s">
        <v>43</v>
      </c>
      <c r="C28" s="28" t="s">
        <v>52</v>
      </c>
      <c r="D28" s="27" t="s">
        <v>53</v>
      </c>
      <c r="E28" s="46">
        <v>8</v>
      </c>
      <c r="F28" s="30" t="s">
        <v>11</v>
      </c>
      <c r="G28" s="31" t="s">
        <v>5</v>
      </c>
    </row>
    <row r="29" ht="42.75">
      <c r="B29" s="32" t="s">
        <v>54</v>
      </c>
      <c r="C29" s="33" t="s">
        <v>55</v>
      </c>
      <c r="D29" s="32" t="s">
        <v>56</v>
      </c>
      <c r="E29" s="47">
        <v>3</v>
      </c>
      <c r="F29" s="35" t="s">
        <v>8</v>
      </c>
      <c r="G29" s="36" t="s">
        <v>5</v>
      </c>
    </row>
    <row r="30" ht="42.75">
      <c r="B30" s="40" t="s">
        <v>54</v>
      </c>
      <c r="C30" s="41" t="s">
        <v>57</v>
      </c>
      <c r="D30" s="40" t="s">
        <v>58</v>
      </c>
      <c r="E30" s="48">
        <v>3</v>
      </c>
      <c r="F30" s="42" t="s">
        <v>6</v>
      </c>
      <c r="G30" s="31" t="s">
        <v>5</v>
      </c>
    </row>
    <row r="31" ht="57">
      <c r="B31" s="17" t="s">
        <v>59</v>
      </c>
      <c r="C31" s="18" t="s">
        <v>60</v>
      </c>
      <c r="D31" s="17" t="s">
        <v>61</v>
      </c>
      <c r="E31" s="19">
        <v>5</v>
      </c>
      <c r="F31" s="20" t="s">
        <v>4</v>
      </c>
      <c r="G31" s="36" t="s">
        <v>5</v>
      </c>
    </row>
    <row r="32" ht="57">
      <c r="B32" s="22" t="s">
        <v>59</v>
      </c>
      <c r="C32" s="23" t="s">
        <v>62</v>
      </c>
      <c r="D32" s="22" t="s">
        <v>63</v>
      </c>
      <c r="E32" s="43">
        <v>5</v>
      </c>
      <c r="F32" s="25" t="s">
        <v>4</v>
      </c>
      <c r="G32" s="26" t="s">
        <v>5</v>
      </c>
    </row>
    <row r="33" ht="42.75">
      <c r="B33" s="27" t="s">
        <v>59</v>
      </c>
      <c r="C33" s="28" t="s">
        <v>64</v>
      </c>
      <c r="D33" s="27" t="s">
        <v>65</v>
      </c>
      <c r="E33" s="48">
        <v>3</v>
      </c>
      <c r="F33" s="30" t="s">
        <v>4</v>
      </c>
      <c r="G33" s="31" t="s">
        <v>5</v>
      </c>
    </row>
    <row r="34" ht="57">
      <c r="B34" s="49" t="s">
        <v>66</v>
      </c>
      <c r="C34" s="50" t="s">
        <v>67</v>
      </c>
      <c r="D34" s="49" t="s">
        <v>68</v>
      </c>
      <c r="E34" s="51">
        <v>2</v>
      </c>
      <c r="F34" s="52" t="s">
        <v>8</v>
      </c>
      <c r="G34" s="53" t="s">
        <v>5</v>
      </c>
    </row>
    <row r="35" s="15" customFormat="1" ht="57">
      <c r="B35" s="2" t="s">
        <v>13</v>
      </c>
      <c r="C35" s="2" t="s">
        <v>14</v>
      </c>
      <c r="D35" s="2" t="s">
        <v>69</v>
      </c>
      <c r="E35" s="2" t="s">
        <v>16</v>
      </c>
      <c r="F35" s="16" t="s">
        <v>17</v>
      </c>
      <c r="G35" s="2" t="s">
        <v>18</v>
      </c>
    </row>
    <row r="36" ht="57">
      <c r="B36" s="54" t="s">
        <v>70</v>
      </c>
      <c r="C36" s="55" t="s">
        <v>71</v>
      </c>
      <c r="D36" s="56"/>
      <c r="E36" s="57"/>
      <c r="F36" s="20"/>
      <c r="G36" s="21"/>
    </row>
    <row r="37" ht="57">
      <c r="B37" s="58" t="s">
        <v>70</v>
      </c>
      <c r="C37" s="59" t="s">
        <v>72</v>
      </c>
      <c r="D37" s="22"/>
      <c r="E37" s="60"/>
      <c r="F37" s="25"/>
      <c r="G37" s="26"/>
    </row>
    <row r="38" ht="57">
      <c r="B38" s="58" t="s">
        <v>70</v>
      </c>
      <c r="C38" s="59" t="s">
        <v>73</v>
      </c>
      <c r="D38" s="22"/>
      <c r="E38" s="61"/>
      <c r="F38" s="25"/>
      <c r="G38" s="26"/>
    </row>
    <row r="39" ht="57">
      <c r="B39" s="58" t="s">
        <v>70</v>
      </c>
      <c r="C39" s="59" t="s">
        <v>74</v>
      </c>
      <c r="D39" s="22"/>
      <c r="E39" s="62"/>
      <c r="F39" s="25"/>
      <c r="G39" s="26"/>
    </row>
    <row r="40" ht="57">
      <c r="B40" s="58" t="s">
        <v>70</v>
      </c>
      <c r="C40" s="59" t="s">
        <v>75</v>
      </c>
      <c r="D40" s="22"/>
      <c r="E40" s="60"/>
      <c r="F40" s="25"/>
      <c r="G40" s="26"/>
    </row>
    <row r="41" ht="57">
      <c r="B41" s="58" t="s">
        <v>70</v>
      </c>
      <c r="C41" s="59" t="s">
        <v>76</v>
      </c>
      <c r="D41" s="22"/>
      <c r="E41" s="61"/>
      <c r="F41" s="25"/>
      <c r="G41" s="26"/>
    </row>
    <row r="42" ht="57">
      <c r="B42" s="58" t="s">
        <v>70</v>
      </c>
      <c r="C42" s="59" t="s">
        <v>77</v>
      </c>
      <c r="D42" s="22"/>
      <c r="E42" s="60"/>
      <c r="F42" s="25"/>
      <c r="G42" s="26"/>
    </row>
    <row r="43" ht="57">
      <c r="B43" s="58" t="s">
        <v>70</v>
      </c>
      <c r="C43" s="59" t="s">
        <v>78</v>
      </c>
      <c r="D43" s="22"/>
      <c r="E43" s="61"/>
      <c r="F43" s="25"/>
      <c r="G43" s="26"/>
    </row>
    <row r="44" ht="57">
      <c r="B44" s="58" t="s">
        <v>70</v>
      </c>
      <c r="C44" s="59" t="s">
        <v>79</v>
      </c>
      <c r="D44" s="22"/>
      <c r="E44" s="60"/>
      <c r="F44" s="25"/>
      <c r="G44" s="26"/>
    </row>
    <row r="45" ht="57">
      <c r="B45" s="58" t="s">
        <v>70</v>
      </c>
      <c r="C45" s="59" t="s">
        <v>80</v>
      </c>
      <c r="D45" s="22"/>
      <c r="E45" s="61"/>
      <c r="F45" s="25"/>
      <c r="G45" s="26"/>
    </row>
    <row r="46" ht="57">
      <c r="B46" s="58" t="s">
        <v>70</v>
      </c>
      <c r="C46" s="59" t="s">
        <v>81</v>
      </c>
      <c r="D46" s="22"/>
      <c r="E46" s="62"/>
      <c r="F46" s="25"/>
      <c r="G46" s="26"/>
    </row>
    <row r="47" ht="57">
      <c r="B47" s="58" t="s">
        <v>70</v>
      </c>
      <c r="C47" s="59" t="s">
        <v>82</v>
      </c>
      <c r="D47" s="22"/>
      <c r="E47" s="60"/>
      <c r="F47" s="25"/>
      <c r="G47" s="26"/>
    </row>
    <row r="48" ht="57">
      <c r="B48" s="58" t="s">
        <v>70</v>
      </c>
      <c r="C48" s="59" t="s">
        <v>83</v>
      </c>
      <c r="D48" s="22"/>
      <c r="E48" s="61"/>
      <c r="F48" s="25"/>
      <c r="G48" s="26"/>
    </row>
    <row r="49" ht="57">
      <c r="B49" s="58" t="s">
        <v>70</v>
      </c>
      <c r="C49" s="59" t="s">
        <v>84</v>
      </c>
      <c r="D49" s="22"/>
      <c r="E49" s="60"/>
      <c r="F49" s="25"/>
      <c r="G49" s="26"/>
    </row>
    <row r="50" ht="57">
      <c r="B50" s="58" t="s">
        <v>70</v>
      </c>
      <c r="C50" s="59" t="s">
        <v>85</v>
      </c>
      <c r="D50" s="22"/>
      <c r="E50" s="60"/>
      <c r="F50" s="25"/>
      <c r="G50" s="26"/>
    </row>
    <row r="51" ht="57">
      <c r="B51" s="58" t="s">
        <v>70</v>
      </c>
      <c r="C51" s="59" t="s">
        <v>86</v>
      </c>
      <c r="D51" s="22"/>
      <c r="E51" s="61"/>
      <c r="F51" s="25"/>
      <c r="G51" s="26"/>
    </row>
    <row r="52" ht="57">
      <c r="B52" s="58" t="s">
        <v>70</v>
      </c>
      <c r="C52" s="59" t="s">
        <v>87</v>
      </c>
      <c r="D52" s="22"/>
      <c r="E52" s="62"/>
      <c r="F52" s="25"/>
      <c r="G52" s="26"/>
    </row>
    <row r="53" ht="57">
      <c r="B53" s="58" t="s">
        <v>70</v>
      </c>
      <c r="C53" s="59" t="s">
        <v>88</v>
      </c>
      <c r="D53" s="22"/>
      <c r="E53" s="60"/>
      <c r="F53" s="25"/>
      <c r="G53" s="26"/>
    </row>
    <row r="54" ht="57">
      <c r="B54" s="58" t="s">
        <v>70</v>
      </c>
      <c r="C54" s="59" t="s">
        <v>89</v>
      </c>
      <c r="D54" s="22"/>
      <c r="E54" s="61"/>
      <c r="F54" s="25"/>
      <c r="G54" s="26"/>
    </row>
    <row r="55" ht="57">
      <c r="B55" s="58" t="s">
        <v>70</v>
      </c>
      <c r="C55" s="59" t="s">
        <v>90</v>
      </c>
      <c r="D55" s="22"/>
      <c r="E55" s="60"/>
      <c r="F55" s="25"/>
      <c r="G55" s="26"/>
    </row>
    <row r="56" ht="57">
      <c r="B56" s="58" t="s">
        <v>70</v>
      </c>
      <c r="C56" s="59" t="s">
        <v>91</v>
      </c>
      <c r="D56" s="22"/>
      <c r="E56" s="62"/>
      <c r="F56" s="25"/>
      <c r="G56" s="26"/>
    </row>
    <row r="57" ht="57">
      <c r="B57" s="58" t="s">
        <v>70</v>
      </c>
      <c r="C57" s="59" t="s">
        <v>92</v>
      </c>
      <c r="D57" s="22"/>
      <c r="E57" s="60"/>
      <c r="F57" s="25"/>
      <c r="G57" s="26"/>
    </row>
    <row r="58" ht="57">
      <c r="B58" s="58" t="s">
        <v>70</v>
      </c>
      <c r="C58" s="59" t="s">
        <v>93</v>
      </c>
      <c r="D58" s="22"/>
      <c r="E58" s="61"/>
      <c r="F58" s="25"/>
      <c r="G58" s="26"/>
    </row>
    <row r="59" ht="57">
      <c r="B59" s="63" t="s">
        <v>70</v>
      </c>
      <c r="C59" s="64" t="s">
        <v>94</v>
      </c>
      <c r="D59" s="27"/>
      <c r="E59" s="65"/>
      <c r="F59" s="30"/>
      <c r="G59" s="31"/>
    </row>
    <row r="60" s="66" customFormat="1" ht="57">
      <c r="B60" s="67" t="s">
        <v>13</v>
      </c>
      <c r="C60" s="67" t="s">
        <v>14</v>
      </c>
      <c r="D60" s="67" t="s">
        <v>95</v>
      </c>
      <c r="E60" s="68" t="s">
        <v>16</v>
      </c>
      <c r="F60" s="67" t="s">
        <v>17</v>
      </c>
      <c r="G60" s="68" t="s">
        <v>18</v>
      </c>
    </row>
    <row r="61" s="66" customFormat="1" ht="57">
      <c r="A61" s="69"/>
      <c r="B61" s="54" t="s">
        <v>96</v>
      </c>
      <c r="C61" s="55" t="s">
        <v>97</v>
      </c>
      <c r="D61" s="70"/>
      <c r="E61" s="57"/>
      <c r="F61" s="55"/>
      <c r="G61" s="21"/>
    </row>
    <row r="62" s="66" customFormat="1" ht="57">
      <c r="A62" s="71"/>
      <c r="B62" s="58" t="s">
        <v>96</v>
      </c>
      <c r="C62" s="59" t="s">
        <v>98</v>
      </c>
      <c r="D62" s="72"/>
      <c r="E62" s="60"/>
      <c r="F62" s="59"/>
      <c r="G62" s="26"/>
    </row>
    <row r="63" s="66" customFormat="1" ht="57">
      <c r="A63" s="71"/>
      <c r="B63" s="58" t="s">
        <v>96</v>
      </c>
      <c r="C63" s="59" t="s">
        <v>99</v>
      </c>
      <c r="D63" s="72"/>
      <c r="E63" s="60"/>
      <c r="F63" s="59"/>
      <c r="G63" s="26"/>
    </row>
    <row r="64" s="66" customFormat="1" ht="57">
      <c r="A64" s="71"/>
      <c r="B64" s="58" t="s">
        <v>96</v>
      </c>
      <c r="C64" s="59" t="s">
        <v>100</v>
      </c>
      <c r="D64" s="72"/>
      <c r="E64" s="60"/>
      <c r="F64" s="59"/>
      <c r="G64" s="26"/>
    </row>
    <row r="65" s="66" customFormat="1" ht="57">
      <c r="A65" s="71"/>
      <c r="B65" s="58" t="s">
        <v>96</v>
      </c>
      <c r="C65" s="59" t="s">
        <v>101</v>
      </c>
      <c r="D65" s="72"/>
      <c r="E65" s="60"/>
      <c r="F65" s="59"/>
      <c r="G65" s="26"/>
    </row>
    <row r="66" s="66" customFormat="1" ht="57">
      <c r="A66" s="71"/>
      <c r="B66" s="58" t="s">
        <v>96</v>
      </c>
      <c r="C66" s="59" t="s">
        <v>102</v>
      </c>
      <c r="D66" s="72"/>
      <c r="E66" s="60"/>
      <c r="F66" s="59"/>
      <c r="G66" s="26"/>
    </row>
    <row r="67" s="66" customFormat="1" ht="57">
      <c r="A67" s="71"/>
      <c r="B67" s="63" t="s">
        <v>96</v>
      </c>
      <c r="C67" s="64" t="s">
        <v>103</v>
      </c>
      <c r="D67" s="73"/>
      <c r="E67" s="65"/>
      <c r="F67" s="64"/>
      <c r="G67" s="31"/>
    </row>
    <row r="68" s="66" customFormat="1" ht="57">
      <c r="A68" s="71"/>
      <c r="B68" s="74" t="s">
        <v>104</v>
      </c>
      <c r="C68" s="33" t="s">
        <v>105</v>
      </c>
      <c r="D68" s="75"/>
      <c r="E68" s="57"/>
      <c r="F68" s="33"/>
      <c r="G68" s="21"/>
    </row>
    <row r="69" s="66" customFormat="1" ht="57">
      <c r="A69" s="71"/>
      <c r="B69" s="76" t="s">
        <v>104</v>
      </c>
      <c r="C69" s="41" t="s">
        <v>106</v>
      </c>
      <c r="D69" s="40"/>
      <c r="E69" s="65"/>
      <c r="F69" s="41"/>
      <c r="G69" s="31"/>
    </row>
    <row r="70" ht="14.25">
      <c r="D70" s="77" t="s">
        <v>12</v>
      </c>
      <c r="E70" s="78">
        <f>SUM(E13:E34,E36:E59,E61:E69)</f>
        <v>108</v>
      </c>
    </row>
  </sheetData>
  <sheetProtection autoFilter="1" deleteColumns="1" deleteRows="1" formatCells="1" formatColumns="1" formatRows="1" insertColumns="1" insertHyperlinks="1" insertRows="1" pivotTables="1" selectLockedCells="0" selectUnlockedCells="0" sheet="0" sort="1"/>
  <conditionalFormatting sqref="G13:G34">
    <cfRule type="containsText" priority="2" text="En Desarrollo">
      <formula>NOT(ISERROR(SEARCH("En Desarrollo",G13)))</formula>
    </cfRule>
  </conditionalFormatting>
  <conditionalFormatting sqref="G36:G39">
    <cfRule type="containsText" priority="2" text="En Desarrollo">
      <formula>NOT(ISERROR(SEARCH("En Desarrollo",G13)))</formula>
    </cfRule>
  </conditionalFormatting>
  <conditionalFormatting sqref="G40:G42">
    <cfRule type="containsText" priority="2" text="En Desarrollo">
      <formula>NOT(ISERROR(SEARCH("En Desarrollo",G13)))</formula>
    </cfRule>
  </conditionalFormatting>
  <conditionalFormatting sqref="G43:G45">
    <cfRule type="containsText" priority="2" text="En Desarrollo">
      <formula>NOT(ISERROR(SEARCH("En Desarrollo",G13)))</formula>
    </cfRule>
  </conditionalFormatting>
  <conditionalFormatting sqref="G46:G48">
    <cfRule type="containsText" priority="2" text="En Desarrollo">
      <formula>NOT(ISERROR(SEARCH("En Desarrollo",G13)))</formula>
    </cfRule>
  </conditionalFormatting>
  <conditionalFormatting sqref="G49:G51">
    <cfRule type="containsText" priority="2" text="En Desarrollo">
      <formula>NOT(ISERROR(SEARCH("En Desarrollo",G13)))</formula>
    </cfRule>
  </conditionalFormatting>
  <conditionalFormatting sqref="G52:G54">
    <cfRule type="containsText" priority="2" text="En Desarrollo">
      <formula>NOT(ISERROR(SEARCH("En Desarrollo",G13)))</formula>
    </cfRule>
  </conditionalFormatting>
  <conditionalFormatting sqref="G55:G57">
    <cfRule type="containsText" priority="2" text="En Desarrollo">
      <formula>NOT(ISERROR(SEARCH("En Desarrollo",G13)))</formula>
    </cfRule>
  </conditionalFormatting>
  <conditionalFormatting sqref="G58:G59">
    <cfRule type="containsText" priority="2" text="En Desarrollo">
      <formula>NOT(ISERROR(SEARCH("En Desarrollo",G13)))</formula>
    </cfRule>
  </conditionalFormatting>
  <conditionalFormatting sqref="G61:G69">
    <cfRule type="containsText" priority="2" text="En Desarrollo">
      <formula>NOT(ISERROR(SEARCH("En Desarrollo",G13)))</formula>
    </cfRule>
  </conditionalFormatting>
  <dataValidations count="1" disablePrompts="0">
    <dataValidation sqref="B4:B8" type="none" allowBlank="1" errorStyle="stop" imeMode="noControl" operator="between" promptTitle="" showDropDown="0" showErrorMessage="1" showInputMessage="1"/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2" operator="equal" id="{E274936B-A901-4A89-A651-14C6EE3DC4CF}">
            <xm:f>3</xm:f>
            <x14:dxf>
              <font>
                <color rgb="FF006100"/>
              </font>
            </x14:dxf>
          </x14:cfRule>
          <xm:sqref>E13:E34</xm:sqref>
        </x14:conditionalFormatting>
        <x14:conditionalFormatting xmlns:xm="http://schemas.microsoft.com/office/excel/2006/main">
          <x14:cfRule type="cellIs" priority="11" operator="lessThanOrEqual" id="{A46ABE3F-E97C-4686-A784-82CABC18EABB}">
            <xm:f>3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E13:E34</xm:sqref>
        </x14:conditionalFormatting>
        <x14:conditionalFormatting xmlns:xm="http://schemas.microsoft.com/office/excel/2006/main">
          <x14:cfRule type="cellIs" priority="10" operator="notBetween" id="{C22A426A-E4E1-4067-A456-B69114B10A37}">
            <xm:f>3</xm:f>
            <xm:f>8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E13:E34</xm:sqref>
        </x14:conditionalFormatting>
        <x14:conditionalFormatting xmlns:xm="http://schemas.microsoft.com/office/excel/2006/main">
          <x14:cfRule type="cellIs" priority="9" operator="between" id="{FD37D9E4-8049-4AA6-A35A-1C99D7F5D051}">
            <xm:f>4</xm:f>
            <xm:f>7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E13:E34</xm:sqref>
        </x14:conditionalFormatting>
        <x14:conditionalFormatting xmlns:xm="http://schemas.microsoft.com/office/excel/2006/main">
          <x14:cfRule type="cellIs" priority="8" operator="greaterThanOrEqual" id="{86D641FD-EA4D-4BCF-ADBD-C1EFD6C2705F}">
            <xm:f>8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E13:E34</xm:sqref>
        </x14:conditionalFormatting>
        <x14:conditionalFormatting xmlns:xm="http://schemas.microsoft.com/office/excel/2006/main">
          <x14:cfRule type="aboveAverage" priority="7" stdDev="0" id="{978B431C-8EE9-4E03-9B95-2B09AF1064B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C4:C8</xm:sqref>
        </x14:conditionalFormatting>
        <x14:conditionalFormatting xmlns:xm="http://schemas.microsoft.com/office/excel/2006/main">
          <x14:cfRule type="aboveAverage" priority="6" aboveAverage="0" stdDev="0" id="{23D6DF3B-FEC4-41F1-B73F-351061E947F3}"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C4:C8</xm:sqref>
        </x14:conditionalFormatting>
        <x14:conditionalFormatting xmlns:xm="http://schemas.microsoft.com/office/excel/2006/main">
          <x14:cfRule type="cellIs" priority="5" operator="lessThan" id="{C79AE3AB-D85E-494F-8E5D-3673FFA38655}">
            <xm:f>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E34</xm:sqref>
        </x14:conditionalFormatting>
        <x14:conditionalFormatting xmlns:xm="http://schemas.microsoft.com/office/excel/2006/main">
          <x14:cfRule type="cellIs" priority="12" operator="equal" id="{F5E51FFC-62B4-4C39-9565-95D4517DD94A}">
            <xm:f>3</xm:f>
            <x14:dxf>
              <font>
                <color rgb="FF006100"/>
              </font>
            </x14:dxf>
          </x14:cfRule>
          <xm:sqref>E36:E39</xm:sqref>
        </x14:conditionalFormatting>
        <x14:conditionalFormatting xmlns:xm="http://schemas.microsoft.com/office/excel/2006/main">
          <x14:cfRule type="cellIs" priority="11" operator="lessThanOrEqual" id="{6A6465C9-49E5-4D5B-8BD7-440246B08655}">
            <xm:f>3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E36:E39</xm:sqref>
        </x14:conditionalFormatting>
        <x14:conditionalFormatting xmlns:xm="http://schemas.microsoft.com/office/excel/2006/main">
          <x14:cfRule type="cellIs" priority="10" operator="notBetween" id="{80FB6721-AA9E-442C-9662-2432AF913B59}">
            <xm:f>3</xm:f>
            <xm:f>8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E36:E39</xm:sqref>
        </x14:conditionalFormatting>
        <x14:conditionalFormatting xmlns:xm="http://schemas.microsoft.com/office/excel/2006/main">
          <x14:cfRule type="cellIs" priority="9" operator="between" id="{303CFF23-EA61-4061-B27D-D1BA84FE3E63}">
            <xm:f>4</xm:f>
            <xm:f>7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E36:E39</xm:sqref>
        </x14:conditionalFormatting>
        <x14:conditionalFormatting xmlns:xm="http://schemas.microsoft.com/office/excel/2006/main">
          <x14:cfRule type="cellIs" priority="8" operator="greaterThanOrEqual" id="{694538A7-6E5E-4642-A8DC-39238937C25B}">
            <xm:f>8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E36:E39</xm:sqref>
        </x14:conditionalFormatting>
        <x14:conditionalFormatting xmlns:xm="http://schemas.microsoft.com/office/excel/2006/main">
          <x14:cfRule type="cellIs" priority="12" operator="equal" id="{7EC868EC-8927-4D5D-84F7-C6963655DDAF}">
            <xm:f>3</xm:f>
            <x14:dxf>
              <font>
                <color rgb="FF006100"/>
              </font>
            </x14:dxf>
          </x14:cfRule>
          <xm:sqref>E40:E41</xm:sqref>
        </x14:conditionalFormatting>
        <x14:conditionalFormatting xmlns:xm="http://schemas.microsoft.com/office/excel/2006/main">
          <x14:cfRule type="cellIs" priority="11" operator="lessThanOrEqual" id="{304CD281-4467-4823-AF92-3DC19F73B7FD}">
            <xm:f>3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E40:E41</xm:sqref>
        </x14:conditionalFormatting>
        <x14:conditionalFormatting xmlns:xm="http://schemas.microsoft.com/office/excel/2006/main">
          <x14:cfRule type="cellIs" priority="10" operator="notBetween" id="{F15C9EB0-75BB-47E7-9969-32FAEEBFAF00}">
            <xm:f>3</xm:f>
            <xm:f>8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E40:E41</xm:sqref>
        </x14:conditionalFormatting>
        <x14:conditionalFormatting xmlns:xm="http://schemas.microsoft.com/office/excel/2006/main">
          <x14:cfRule type="cellIs" priority="9" operator="between" id="{BCFFA081-FE88-4AA4-9D6C-6EAAED39F63A}">
            <xm:f>4</xm:f>
            <xm:f>7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E40:E41</xm:sqref>
        </x14:conditionalFormatting>
        <x14:conditionalFormatting xmlns:xm="http://schemas.microsoft.com/office/excel/2006/main">
          <x14:cfRule type="cellIs" priority="8" operator="greaterThanOrEqual" id="{84E33312-D897-4F0D-B52C-55F7BFAFB090}">
            <xm:f>8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E40:E41</xm:sqref>
        </x14:conditionalFormatting>
        <x14:conditionalFormatting xmlns:xm="http://schemas.microsoft.com/office/excel/2006/main">
          <x14:cfRule type="cellIs" priority="12" operator="equal" id="{81CE7598-2514-4DE3-BAF6-0916A60FC8CB}">
            <xm:f>3</xm:f>
            <x14:dxf>
              <font>
                <color rgb="FF006100"/>
              </font>
            </x14:dxf>
          </x14:cfRule>
          <xm:sqref>E42:E43</xm:sqref>
        </x14:conditionalFormatting>
        <x14:conditionalFormatting xmlns:xm="http://schemas.microsoft.com/office/excel/2006/main">
          <x14:cfRule type="cellIs" priority="11" operator="lessThanOrEqual" id="{5469A41A-3190-448E-8DC8-1FA823C01761}">
            <xm:f>3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E42:E43</xm:sqref>
        </x14:conditionalFormatting>
        <x14:conditionalFormatting xmlns:xm="http://schemas.microsoft.com/office/excel/2006/main">
          <x14:cfRule type="cellIs" priority="10" operator="notBetween" id="{04578C98-13B3-4018-B1C0-C2995134C4F6}">
            <xm:f>3</xm:f>
            <xm:f>8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E42:E43</xm:sqref>
        </x14:conditionalFormatting>
        <x14:conditionalFormatting xmlns:xm="http://schemas.microsoft.com/office/excel/2006/main">
          <x14:cfRule type="cellIs" priority="9" operator="between" id="{5E80B251-2D24-463F-8574-8B3F94485234}">
            <xm:f>4</xm:f>
            <xm:f>7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E42:E43</xm:sqref>
        </x14:conditionalFormatting>
        <x14:conditionalFormatting xmlns:xm="http://schemas.microsoft.com/office/excel/2006/main">
          <x14:cfRule type="cellIs" priority="8" operator="greaterThanOrEqual" id="{36A4FBF5-C517-4E34-9B62-B8EA3C772CC8}">
            <xm:f>8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E42:E43</xm:sqref>
        </x14:conditionalFormatting>
        <x14:conditionalFormatting xmlns:xm="http://schemas.microsoft.com/office/excel/2006/main">
          <x14:cfRule type="cellIs" priority="12" operator="equal" id="{EE8BA9D4-F0B9-4E61-B3BB-F6F38B2E9FD3}">
            <xm:f>3</xm:f>
            <x14:dxf>
              <font>
                <color rgb="FF006100"/>
              </font>
            </x14:dxf>
          </x14:cfRule>
          <xm:sqref>E44:E46</xm:sqref>
        </x14:conditionalFormatting>
        <x14:conditionalFormatting xmlns:xm="http://schemas.microsoft.com/office/excel/2006/main">
          <x14:cfRule type="cellIs" priority="11" operator="lessThanOrEqual" id="{32CFB9B5-290F-447F-A604-09531E1CA592}">
            <xm:f>3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E44:E46</xm:sqref>
        </x14:conditionalFormatting>
        <x14:conditionalFormatting xmlns:xm="http://schemas.microsoft.com/office/excel/2006/main">
          <x14:cfRule type="cellIs" priority="10" operator="notBetween" id="{B82F99AE-16A7-4CC4-8D43-B7C40AD63D18}">
            <xm:f>3</xm:f>
            <xm:f>8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E44:E46</xm:sqref>
        </x14:conditionalFormatting>
        <x14:conditionalFormatting xmlns:xm="http://schemas.microsoft.com/office/excel/2006/main">
          <x14:cfRule type="cellIs" priority="9" operator="between" id="{2946943C-6013-4B7B-BA22-C72E4E25307C}">
            <xm:f>4</xm:f>
            <xm:f>7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E44:E46</xm:sqref>
        </x14:conditionalFormatting>
        <x14:conditionalFormatting xmlns:xm="http://schemas.microsoft.com/office/excel/2006/main">
          <x14:cfRule type="cellIs" priority="8" operator="greaterThanOrEqual" id="{A735B590-05F3-44F5-9D30-91E625DE4DAA}">
            <xm:f>8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E44:E46</xm:sqref>
        </x14:conditionalFormatting>
        <x14:conditionalFormatting xmlns:xm="http://schemas.microsoft.com/office/excel/2006/main">
          <x14:cfRule type="cellIs" priority="12" operator="equal" id="{718E3598-83F6-4C54-AFA7-406F316A3EAE}">
            <xm:f>3</xm:f>
            <x14:dxf>
              <font>
                <color rgb="FF006100"/>
              </font>
            </x14:dxf>
          </x14:cfRule>
          <xm:sqref>E47:E48</xm:sqref>
        </x14:conditionalFormatting>
        <x14:conditionalFormatting xmlns:xm="http://schemas.microsoft.com/office/excel/2006/main">
          <x14:cfRule type="cellIs" priority="11" operator="lessThanOrEqual" id="{DAC7F99C-B5B7-4A02-9D7B-286981C4C33B}">
            <xm:f>3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E47:E48</xm:sqref>
        </x14:conditionalFormatting>
        <x14:conditionalFormatting xmlns:xm="http://schemas.microsoft.com/office/excel/2006/main">
          <x14:cfRule type="cellIs" priority="10" operator="notBetween" id="{01D67E10-76CA-4205-91C2-3D20F697F853}">
            <xm:f>3</xm:f>
            <xm:f>8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E47:E48</xm:sqref>
        </x14:conditionalFormatting>
        <x14:conditionalFormatting xmlns:xm="http://schemas.microsoft.com/office/excel/2006/main">
          <x14:cfRule type="cellIs" priority="9" operator="between" id="{C60E3951-7B09-4EEE-9EC8-4CC4AFC0B4BF}">
            <xm:f>4</xm:f>
            <xm:f>7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E47:E48</xm:sqref>
        </x14:conditionalFormatting>
        <x14:conditionalFormatting xmlns:xm="http://schemas.microsoft.com/office/excel/2006/main">
          <x14:cfRule type="cellIs" priority="8" operator="greaterThanOrEqual" id="{CB048B9A-AC12-49F4-B865-D0BA9A24E584}">
            <xm:f>8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E47:E48</xm:sqref>
        </x14:conditionalFormatting>
        <x14:conditionalFormatting xmlns:xm="http://schemas.microsoft.com/office/excel/2006/main">
          <x14:cfRule type="cellIs" priority="12" operator="equal" id="{965F935D-213D-40B0-A5DE-E586B9058563}">
            <xm:f>3</xm:f>
            <x14:dxf>
              <font>
                <color rgb="FF006100"/>
              </font>
            </x14:dxf>
          </x14:cfRule>
          <xm:sqref>E49</xm:sqref>
        </x14:conditionalFormatting>
        <x14:conditionalFormatting xmlns:xm="http://schemas.microsoft.com/office/excel/2006/main">
          <x14:cfRule type="cellIs" priority="11" operator="lessThanOrEqual" id="{B8ECB341-B8ED-4762-96CE-D0916D217356}">
            <xm:f>3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E49</xm:sqref>
        </x14:conditionalFormatting>
        <x14:conditionalFormatting xmlns:xm="http://schemas.microsoft.com/office/excel/2006/main">
          <x14:cfRule type="cellIs" priority="10" operator="notBetween" id="{B68D501F-ACF9-4EC9-83B2-FE11F4D422A8}">
            <xm:f>3</xm:f>
            <xm:f>8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E49</xm:sqref>
        </x14:conditionalFormatting>
        <x14:conditionalFormatting xmlns:xm="http://schemas.microsoft.com/office/excel/2006/main">
          <x14:cfRule type="cellIs" priority="9" operator="between" id="{283BE597-0CD8-4CCE-AD25-2D0D2F62DCAB}">
            <xm:f>4</xm:f>
            <xm:f>7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E49</xm:sqref>
        </x14:conditionalFormatting>
        <x14:conditionalFormatting xmlns:xm="http://schemas.microsoft.com/office/excel/2006/main">
          <x14:cfRule type="cellIs" priority="8" operator="greaterThanOrEqual" id="{3E9FC6C3-E19A-4B71-BE49-D269546D5EF6}">
            <xm:f>8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E49</xm:sqref>
        </x14:conditionalFormatting>
        <x14:conditionalFormatting xmlns:xm="http://schemas.microsoft.com/office/excel/2006/main">
          <x14:cfRule type="cellIs" priority="12" operator="equal" id="{3C43090E-501F-4071-9818-6BA2DFE4304B}">
            <xm:f>3</xm:f>
            <x14:dxf>
              <font>
                <color rgb="FF006100"/>
              </font>
            </x14:dxf>
          </x14:cfRule>
          <xm:sqref>E50:E52</xm:sqref>
        </x14:conditionalFormatting>
        <x14:conditionalFormatting xmlns:xm="http://schemas.microsoft.com/office/excel/2006/main">
          <x14:cfRule type="cellIs" priority="11" operator="lessThanOrEqual" id="{D8B7B628-3232-4547-BFD4-E73BA1CACA90}">
            <xm:f>3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E50:E52</xm:sqref>
        </x14:conditionalFormatting>
        <x14:conditionalFormatting xmlns:xm="http://schemas.microsoft.com/office/excel/2006/main">
          <x14:cfRule type="cellIs" priority="10" operator="notBetween" id="{46E9D17D-20BB-4107-BCC8-3315C5A5D366}">
            <xm:f>3</xm:f>
            <xm:f>8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E50:E52</xm:sqref>
        </x14:conditionalFormatting>
        <x14:conditionalFormatting xmlns:xm="http://schemas.microsoft.com/office/excel/2006/main">
          <x14:cfRule type="cellIs" priority="9" operator="between" id="{E8BFEE90-7E12-418E-8B34-E593F166AA6F}">
            <xm:f>4</xm:f>
            <xm:f>7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E50:E52</xm:sqref>
        </x14:conditionalFormatting>
        <x14:conditionalFormatting xmlns:xm="http://schemas.microsoft.com/office/excel/2006/main">
          <x14:cfRule type="cellIs" priority="8" operator="greaterThanOrEqual" id="{1081FCF0-3EB0-42DC-84B1-7761ACE4D09C}">
            <xm:f>8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E50:E52</xm:sqref>
        </x14:conditionalFormatting>
        <x14:conditionalFormatting xmlns:xm="http://schemas.microsoft.com/office/excel/2006/main">
          <x14:cfRule type="cellIs" priority="12" operator="equal" id="{16F4EE3E-7C14-41CF-888F-EC80BDCE1773}">
            <xm:f>3</xm:f>
            <x14:dxf>
              <font>
                <color rgb="FF006100"/>
              </font>
            </x14:dxf>
          </x14:cfRule>
          <xm:sqref>E53:E54</xm:sqref>
        </x14:conditionalFormatting>
        <x14:conditionalFormatting xmlns:xm="http://schemas.microsoft.com/office/excel/2006/main">
          <x14:cfRule type="cellIs" priority="11" operator="lessThanOrEqual" id="{B9D74BD9-A494-476D-A3A5-08D85DE28473}">
            <xm:f>3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E53:E54</xm:sqref>
        </x14:conditionalFormatting>
        <x14:conditionalFormatting xmlns:xm="http://schemas.microsoft.com/office/excel/2006/main">
          <x14:cfRule type="cellIs" priority="10" operator="notBetween" id="{8A9F5ECD-07EB-4575-AE8F-1C7A65EF14C4}">
            <xm:f>3</xm:f>
            <xm:f>8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E53:E54</xm:sqref>
        </x14:conditionalFormatting>
        <x14:conditionalFormatting xmlns:xm="http://schemas.microsoft.com/office/excel/2006/main">
          <x14:cfRule type="cellIs" priority="9" operator="between" id="{DB0FDA59-4EB8-45F3-B13E-AA2ECE2652A2}">
            <xm:f>4</xm:f>
            <xm:f>7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E53:E54</xm:sqref>
        </x14:conditionalFormatting>
        <x14:conditionalFormatting xmlns:xm="http://schemas.microsoft.com/office/excel/2006/main">
          <x14:cfRule type="cellIs" priority="8" operator="greaterThanOrEqual" id="{D8CAE4A4-473C-4F61-AE13-8FF934B8CBE5}">
            <xm:f>8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E53:E54</xm:sqref>
        </x14:conditionalFormatting>
        <x14:conditionalFormatting xmlns:xm="http://schemas.microsoft.com/office/excel/2006/main">
          <x14:cfRule type="cellIs" priority="12" operator="equal" id="{7C8897E3-6F1D-4499-AC0C-6F4C9CC2FBCF}">
            <xm:f>3</xm:f>
            <x14:dxf>
              <font>
                <color rgb="FF006100"/>
              </font>
            </x14:dxf>
          </x14:cfRule>
          <xm:sqref>E55</xm:sqref>
        </x14:conditionalFormatting>
        <x14:conditionalFormatting xmlns:xm="http://schemas.microsoft.com/office/excel/2006/main">
          <x14:cfRule type="cellIs" priority="11" operator="lessThanOrEqual" id="{4B3F7461-A16D-4D3B-9D39-40FF32115ED0}">
            <xm:f>3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E55</xm:sqref>
        </x14:conditionalFormatting>
        <x14:conditionalFormatting xmlns:xm="http://schemas.microsoft.com/office/excel/2006/main">
          <x14:cfRule type="cellIs" priority="10" operator="notBetween" id="{DEF384D9-8A22-49FC-AFEA-33DF8F4E0A59}">
            <xm:f>3</xm:f>
            <xm:f>8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E55</xm:sqref>
        </x14:conditionalFormatting>
        <x14:conditionalFormatting xmlns:xm="http://schemas.microsoft.com/office/excel/2006/main">
          <x14:cfRule type="cellIs" priority="9" operator="between" id="{A7FD441F-0F85-41C0-A780-70717CB31913}">
            <xm:f>4</xm:f>
            <xm:f>7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E55</xm:sqref>
        </x14:conditionalFormatting>
        <x14:conditionalFormatting xmlns:xm="http://schemas.microsoft.com/office/excel/2006/main">
          <x14:cfRule type="cellIs" priority="8" operator="greaterThanOrEqual" id="{15363016-1E5C-4EB6-8136-06F80ACC53AB}">
            <xm:f>8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E55</xm:sqref>
        </x14:conditionalFormatting>
        <x14:conditionalFormatting xmlns:xm="http://schemas.microsoft.com/office/excel/2006/main">
          <x14:cfRule type="cellIs" priority="12" operator="equal" id="{B8639A02-2B15-4A21-A66C-CD6625D77634}">
            <xm:f>3</xm:f>
            <x14:dxf>
              <font>
                <color rgb="FF006100"/>
              </font>
            </x14:dxf>
          </x14:cfRule>
          <xm:sqref>E56</xm:sqref>
        </x14:conditionalFormatting>
        <x14:conditionalFormatting xmlns:xm="http://schemas.microsoft.com/office/excel/2006/main">
          <x14:cfRule type="cellIs" priority="11" operator="lessThanOrEqual" id="{3CC355C8-70A5-4D04-B513-21FC1588680E}">
            <xm:f>3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E56</xm:sqref>
        </x14:conditionalFormatting>
        <x14:conditionalFormatting xmlns:xm="http://schemas.microsoft.com/office/excel/2006/main">
          <x14:cfRule type="cellIs" priority="10" operator="notBetween" id="{D6FA7885-FCF8-44EB-874E-2350E77735BD}">
            <xm:f>3</xm:f>
            <xm:f>8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E56</xm:sqref>
        </x14:conditionalFormatting>
        <x14:conditionalFormatting xmlns:xm="http://schemas.microsoft.com/office/excel/2006/main">
          <x14:cfRule type="cellIs" priority="9" operator="between" id="{838AE0F1-4674-4872-84C9-14406E44B8F6}">
            <xm:f>4</xm:f>
            <xm:f>7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E56</xm:sqref>
        </x14:conditionalFormatting>
        <x14:conditionalFormatting xmlns:xm="http://schemas.microsoft.com/office/excel/2006/main">
          <x14:cfRule type="cellIs" priority="8" operator="greaterThanOrEqual" id="{F7CD0F60-2DFE-4B98-905E-6464719EF24C}">
            <xm:f>8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E56</xm:sqref>
        </x14:conditionalFormatting>
        <x14:conditionalFormatting xmlns:xm="http://schemas.microsoft.com/office/excel/2006/main">
          <x14:cfRule type="cellIs" priority="12" operator="equal" id="{4E5DF751-BA4C-4721-8B13-4BE2F4378FF9}">
            <xm:f>3</xm:f>
            <x14:dxf>
              <font>
                <color rgb="FF006100"/>
              </font>
            </x14:dxf>
          </x14:cfRule>
          <xm:sqref>E57:E58</xm:sqref>
        </x14:conditionalFormatting>
        <x14:conditionalFormatting xmlns:xm="http://schemas.microsoft.com/office/excel/2006/main">
          <x14:cfRule type="cellIs" priority="11" operator="lessThanOrEqual" id="{20812B13-FB90-46BB-BBD2-6854F5FBBB89}">
            <xm:f>3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E57:E58</xm:sqref>
        </x14:conditionalFormatting>
        <x14:conditionalFormatting xmlns:xm="http://schemas.microsoft.com/office/excel/2006/main">
          <x14:cfRule type="cellIs" priority="10" operator="notBetween" id="{40B79EFF-4369-4C11-84C9-B6ABC130C926}">
            <xm:f>3</xm:f>
            <xm:f>8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E57:E58</xm:sqref>
        </x14:conditionalFormatting>
        <x14:conditionalFormatting xmlns:xm="http://schemas.microsoft.com/office/excel/2006/main">
          <x14:cfRule type="cellIs" priority="9" operator="between" id="{DC7333BF-A919-44F6-98AB-0B531508152D}">
            <xm:f>4</xm:f>
            <xm:f>7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E57:E58</xm:sqref>
        </x14:conditionalFormatting>
        <x14:conditionalFormatting xmlns:xm="http://schemas.microsoft.com/office/excel/2006/main">
          <x14:cfRule type="cellIs" priority="8" operator="greaterThanOrEqual" id="{FE1A2E6D-2A88-4FB1-8E68-ACBC7C1CBCAD}">
            <xm:f>8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E57:E58</xm:sqref>
        </x14:conditionalFormatting>
        <x14:conditionalFormatting xmlns:xm="http://schemas.microsoft.com/office/excel/2006/main">
          <x14:cfRule type="cellIs" priority="12" operator="equal" id="{C9467728-F633-4FE7-BA55-0B924C8032B6}">
            <xm:f>3</xm:f>
            <x14:dxf>
              <font>
                <color rgb="FF006100"/>
              </font>
            </x14:dxf>
          </x14:cfRule>
          <xm:sqref>E59</xm:sqref>
        </x14:conditionalFormatting>
        <x14:conditionalFormatting xmlns:xm="http://schemas.microsoft.com/office/excel/2006/main">
          <x14:cfRule type="cellIs" priority="11" operator="lessThanOrEqual" id="{5662AB16-270E-4487-80F6-B7F6F2F7CC2F}">
            <xm:f>3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E59</xm:sqref>
        </x14:conditionalFormatting>
        <x14:conditionalFormatting xmlns:xm="http://schemas.microsoft.com/office/excel/2006/main">
          <x14:cfRule type="cellIs" priority="10" operator="notBetween" id="{11F001CB-50E2-4F6E-91F9-7A6276E36E9E}">
            <xm:f>3</xm:f>
            <xm:f>8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E59</xm:sqref>
        </x14:conditionalFormatting>
        <x14:conditionalFormatting xmlns:xm="http://schemas.microsoft.com/office/excel/2006/main">
          <x14:cfRule type="cellIs" priority="9" operator="between" id="{ABEB53A4-8E24-4EDB-8317-CDB704CB279D}">
            <xm:f>4</xm:f>
            <xm:f>7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E59</xm:sqref>
        </x14:conditionalFormatting>
        <x14:conditionalFormatting xmlns:xm="http://schemas.microsoft.com/office/excel/2006/main">
          <x14:cfRule type="cellIs" priority="8" operator="greaterThanOrEqual" id="{68BBDC4C-2BFE-41AB-8895-434BB45CFBD8}">
            <xm:f>8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E59</xm:sqref>
        </x14:conditionalFormatting>
        <x14:conditionalFormatting xmlns:xm="http://schemas.microsoft.com/office/excel/2006/main">
          <x14:cfRule type="containsText" priority="4" text="Entregado" id="{4E00C9D4-9FFE-44CE-B53F-A0D13B2A43AB}">
            <xm:f>NOT(ISERROR(SEARCH("Entregado",G13)))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G13:G34</xm:sqref>
        </x14:conditionalFormatting>
        <x14:conditionalFormatting xmlns:xm="http://schemas.microsoft.com/office/excel/2006/main">
          <x14:cfRule type="containsText" priority="3" text="No Entregado" id="{6F4D164F-1DF6-4C1F-8D7E-1013DFF67F3A}">
            <xm:f>NOT(ISERROR(SEARCH("No Entregado",G13)))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G13:G34</xm:sqref>
        </x14:conditionalFormatting>
        <x14:conditionalFormatting xmlns:xm="http://schemas.microsoft.com/office/excel/2006/main">
          <x14:cfRule type="containsText" priority="1" text="En Desarrollo" id="{716A5B19-AEE5-4B47-B228-2B522AC9C334}">
            <xm:f>NOT(ISERROR(SEARCH("En Desarrollo",G13)))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G13:G34</xm:sqref>
        </x14:conditionalFormatting>
        <x14:conditionalFormatting xmlns:xm="http://schemas.microsoft.com/office/excel/2006/main">
          <x14:cfRule type="containsText" priority="4" text="Entregado" id="{D8312738-9E82-40A1-A415-CB762F3AA24B}">
            <xm:f>NOT(ISERROR(SEARCH("Entregado",G13)))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G36:G39</xm:sqref>
        </x14:conditionalFormatting>
        <x14:conditionalFormatting xmlns:xm="http://schemas.microsoft.com/office/excel/2006/main">
          <x14:cfRule type="containsText" priority="3" text="No Entregado" id="{D4AC4497-CB0E-4ECB-A75A-CFAEB349DCA2}">
            <xm:f>NOT(ISERROR(SEARCH("No Entregado",G13)))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G36:G39</xm:sqref>
        </x14:conditionalFormatting>
        <x14:conditionalFormatting xmlns:xm="http://schemas.microsoft.com/office/excel/2006/main">
          <x14:cfRule type="containsText" priority="1" text="En Desarrollo" id="{8EA16F93-2C7C-40C6-9A95-000A53FA4B5D}">
            <xm:f>NOT(ISERROR(SEARCH("En Desarrollo",G13)))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G36:G39</xm:sqref>
        </x14:conditionalFormatting>
        <x14:conditionalFormatting xmlns:xm="http://schemas.microsoft.com/office/excel/2006/main">
          <x14:cfRule type="containsText" priority="4" text="Entregado" id="{D98E7D2C-6296-410E-AB47-353AAD2E9BBD}">
            <xm:f>NOT(ISERROR(SEARCH("Entregado",G13)))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G40:G42</xm:sqref>
        </x14:conditionalFormatting>
        <x14:conditionalFormatting xmlns:xm="http://schemas.microsoft.com/office/excel/2006/main">
          <x14:cfRule type="containsText" priority="3" text="No Entregado" id="{46A02842-057E-4165-BB25-5D8A699750FC}">
            <xm:f>NOT(ISERROR(SEARCH("No Entregado",G13)))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G40:G42</xm:sqref>
        </x14:conditionalFormatting>
        <x14:conditionalFormatting xmlns:xm="http://schemas.microsoft.com/office/excel/2006/main">
          <x14:cfRule type="containsText" priority="1" text="En Desarrollo" id="{5F9F2C1F-9167-4147-8640-850A7E59483E}">
            <xm:f>NOT(ISERROR(SEARCH("En Desarrollo",G13)))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G40:G42</xm:sqref>
        </x14:conditionalFormatting>
        <x14:conditionalFormatting xmlns:xm="http://schemas.microsoft.com/office/excel/2006/main">
          <x14:cfRule type="containsText" priority="4" text="Entregado" id="{ECC072AF-5F39-4013-9C3F-B9CEF549900B}">
            <xm:f>NOT(ISERROR(SEARCH("Entregado",G13)))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G43:G45</xm:sqref>
        </x14:conditionalFormatting>
        <x14:conditionalFormatting xmlns:xm="http://schemas.microsoft.com/office/excel/2006/main">
          <x14:cfRule type="containsText" priority="3" text="No Entregado" id="{D463EF46-6419-4C28-9840-D3FD157DF986}">
            <xm:f>NOT(ISERROR(SEARCH("No Entregado",G13)))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G43:G45</xm:sqref>
        </x14:conditionalFormatting>
        <x14:conditionalFormatting xmlns:xm="http://schemas.microsoft.com/office/excel/2006/main">
          <x14:cfRule type="containsText" priority="1" text="En Desarrollo" id="{9193EA16-11CC-4894-9253-288831C43498}">
            <xm:f>NOT(ISERROR(SEARCH("En Desarrollo",G13)))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G43:G45</xm:sqref>
        </x14:conditionalFormatting>
        <x14:conditionalFormatting xmlns:xm="http://schemas.microsoft.com/office/excel/2006/main">
          <x14:cfRule type="containsText" priority="4" text="Entregado" id="{D6C76DF9-FB5C-4436-85ED-E45D29C9396E}">
            <xm:f>NOT(ISERROR(SEARCH("Entregado",G13)))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G46:G48</xm:sqref>
        </x14:conditionalFormatting>
        <x14:conditionalFormatting xmlns:xm="http://schemas.microsoft.com/office/excel/2006/main">
          <x14:cfRule type="containsText" priority="3" text="No Entregado" id="{DF1E8574-5988-47E3-9AF3-B87C5CF6997C}">
            <xm:f>NOT(ISERROR(SEARCH("No Entregado",G13)))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G46:G48</xm:sqref>
        </x14:conditionalFormatting>
        <x14:conditionalFormatting xmlns:xm="http://schemas.microsoft.com/office/excel/2006/main">
          <x14:cfRule type="containsText" priority="1" text="En Desarrollo" id="{686B0FB6-38DD-4072-A9E7-4323215A885E}">
            <xm:f>NOT(ISERROR(SEARCH("En Desarrollo",G13)))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G46:G48</xm:sqref>
        </x14:conditionalFormatting>
        <x14:conditionalFormatting xmlns:xm="http://schemas.microsoft.com/office/excel/2006/main">
          <x14:cfRule type="containsText" priority="4" text="Entregado" id="{0F8E0B1B-A335-47BE-A8CC-435BC0C30A50}">
            <xm:f>NOT(ISERROR(SEARCH("Entregado",G13)))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G49:G51</xm:sqref>
        </x14:conditionalFormatting>
        <x14:conditionalFormatting xmlns:xm="http://schemas.microsoft.com/office/excel/2006/main">
          <x14:cfRule type="containsText" priority="3" text="No Entregado" id="{518E7CA8-56BD-4AA2-A5D6-1463BFA0750F}">
            <xm:f>NOT(ISERROR(SEARCH("No Entregado",G13)))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G49:G51</xm:sqref>
        </x14:conditionalFormatting>
        <x14:conditionalFormatting xmlns:xm="http://schemas.microsoft.com/office/excel/2006/main">
          <x14:cfRule type="containsText" priority="1" text="En Desarrollo" id="{BDC4E650-64C3-475A-9895-D4ED962C7773}">
            <xm:f>NOT(ISERROR(SEARCH("En Desarrollo",G13)))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G49:G51</xm:sqref>
        </x14:conditionalFormatting>
        <x14:conditionalFormatting xmlns:xm="http://schemas.microsoft.com/office/excel/2006/main">
          <x14:cfRule type="containsText" priority="4" text="Entregado" id="{DAF91B78-E84C-4162-8E99-60C9A2B13B59}">
            <xm:f>NOT(ISERROR(SEARCH("Entregado",G13)))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G52:G54</xm:sqref>
        </x14:conditionalFormatting>
        <x14:conditionalFormatting xmlns:xm="http://schemas.microsoft.com/office/excel/2006/main">
          <x14:cfRule type="containsText" priority="3" text="No Entregado" id="{A168FF30-E5DC-47FD-B996-F838E50D82FD}">
            <xm:f>NOT(ISERROR(SEARCH("No Entregado",G13)))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G52:G54</xm:sqref>
        </x14:conditionalFormatting>
        <x14:conditionalFormatting xmlns:xm="http://schemas.microsoft.com/office/excel/2006/main">
          <x14:cfRule type="containsText" priority="1" text="En Desarrollo" id="{F079A5CC-0227-4FD3-8AFE-AA42E3F134FB}">
            <xm:f>NOT(ISERROR(SEARCH("En Desarrollo",G13)))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G52:G54</xm:sqref>
        </x14:conditionalFormatting>
        <x14:conditionalFormatting xmlns:xm="http://schemas.microsoft.com/office/excel/2006/main">
          <x14:cfRule type="containsText" priority="4" text="Entregado" id="{DA142265-458A-4E09-ABBF-545EA6267E38}">
            <xm:f>NOT(ISERROR(SEARCH("Entregado",G13)))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G55:G57</xm:sqref>
        </x14:conditionalFormatting>
        <x14:conditionalFormatting xmlns:xm="http://schemas.microsoft.com/office/excel/2006/main">
          <x14:cfRule type="containsText" priority="3" text="No Entregado" id="{25CCE73C-045A-4483-9279-E286426DDDA9}">
            <xm:f>NOT(ISERROR(SEARCH("No Entregado",G13)))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G55:G57</xm:sqref>
        </x14:conditionalFormatting>
        <x14:conditionalFormatting xmlns:xm="http://schemas.microsoft.com/office/excel/2006/main">
          <x14:cfRule type="containsText" priority="1" text="En Desarrollo" id="{684ACBF6-E26C-410F-8E5A-0284BC7A9689}">
            <xm:f>NOT(ISERROR(SEARCH("En Desarrollo",G13)))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G55:G57</xm:sqref>
        </x14:conditionalFormatting>
        <x14:conditionalFormatting xmlns:xm="http://schemas.microsoft.com/office/excel/2006/main">
          <x14:cfRule type="containsText" priority="4" text="Entregado" id="{70F21F55-CDC3-46C9-9132-213CD27220FA}">
            <xm:f>NOT(ISERROR(SEARCH("Entregado",G13)))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G58:G59</xm:sqref>
        </x14:conditionalFormatting>
        <x14:conditionalFormatting xmlns:xm="http://schemas.microsoft.com/office/excel/2006/main">
          <x14:cfRule type="containsText" priority="3" text="No Entregado" id="{15EE6AA6-A024-4CCC-A3D6-EAD70261293A}">
            <xm:f>NOT(ISERROR(SEARCH("No Entregado",G13)))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G58:G59</xm:sqref>
        </x14:conditionalFormatting>
        <x14:conditionalFormatting xmlns:xm="http://schemas.microsoft.com/office/excel/2006/main">
          <x14:cfRule type="containsText" priority="1" text="En Desarrollo" id="{6AA4819B-A7C2-4E4E-8DC8-EE96A336A831}">
            <xm:f>NOT(ISERROR(SEARCH("En Desarrollo",G13)))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G58:G59</xm:sqref>
        </x14:conditionalFormatting>
        <x14:conditionalFormatting xmlns:xm="http://schemas.microsoft.com/office/excel/2006/main">
          <x14:cfRule type="cellIs" priority="12" operator="equal" id="{9A2A70DD-F0A3-41D6-80E4-27FAE92EFB92}">
            <xm:f>3</xm:f>
            <x14:dxf>
              <font>
                <color rgb="FF006100"/>
              </font>
            </x14:dxf>
          </x14:cfRule>
          <xm:sqref>E61:E69</xm:sqref>
        </x14:conditionalFormatting>
        <x14:conditionalFormatting xmlns:xm="http://schemas.microsoft.com/office/excel/2006/main">
          <x14:cfRule type="cellIs" priority="11" operator="lessThanOrEqual" id="{E3777069-0F6C-49DC-A0BE-526E4EE350C3}">
            <xm:f>3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E61:E69</xm:sqref>
        </x14:conditionalFormatting>
        <x14:conditionalFormatting xmlns:xm="http://schemas.microsoft.com/office/excel/2006/main">
          <x14:cfRule type="cellIs" priority="10" operator="notBetween" id="{532C5D50-D9DF-4D92-B0A9-4EF6C98B1058}">
            <xm:f>3</xm:f>
            <xm:f>8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E61:E69</xm:sqref>
        </x14:conditionalFormatting>
        <x14:conditionalFormatting xmlns:xm="http://schemas.microsoft.com/office/excel/2006/main">
          <x14:cfRule type="cellIs" priority="9" operator="between" id="{706E98ED-52BA-4ADD-BCE9-5EA0F1BEF763}">
            <xm:f>4</xm:f>
            <xm:f>7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E61:E69</xm:sqref>
        </x14:conditionalFormatting>
        <x14:conditionalFormatting xmlns:xm="http://schemas.microsoft.com/office/excel/2006/main">
          <x14:cfRule type="cellIs" priority="8" operator="greaterThanOrEqual" id="{B1777056-97B2-482B-8608-8718AEF2EB90}">
            <xm:f>8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E61:E69</xm:sqref>
        </x14:conditionalFormatting>
        <x14:conditionalFormatting xmlns:xm="http://schemas.microsoft.com/office/excel/2006/main">
          <x14:cfRule type="containsText" priority="4" text="Entregado" id="{A33FDF71-97F4-437F-9208-03EA0398C629}">
            <xm:f>NOT(ISERROR(SEARCH("Entregado",G13)))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G61:G69</xm:sqref>
        </x14:conditionalFormatting>
        <x14:conditionalFormatting xmlns:xm="http://schemas.microsoft.com/office/excel/2006/main">
          <x14:cfRule type="containsText" priority="3" text="No Entregado" id="{B16DC2F5-F673-42F4-8A33-13EC5B47DBE1}">
            <xm:f>NOT(ISERROR(SEARCH("No Entregado",G13)))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G61:G69</xm:sqref>
        </x14:conditionalFormatting>
        <x14:conditionalFormatting xmlns:xm="http://schemas.microsoft.com/office/excel/2006/main">
          <x14:cfRule type="containsText" priority="1" text="En Desarrollo" id="{742010CC-CF1F-41D2-90B3-1DDD47A34334}">
            <xm:f>NOT(ISERROR(SEARCH("En Desarrollo",G13)))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G61:G69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0" disablePrompts="0">
        <x14:dataValidation xr:uid="{5AC8AFF1-379C-48C1-8415-D29E35367D10}" type="list" allowBlank="1" errorStyle="stop" imeMode="noControl" operator="between" showDropDown="0" showErrorMessage="1" showInputMessage="1">
          <x14:formula1>
            <xm:f>$B$4:$B$8</xm:f>
          </x14:formula1>
          <xm:sqref>F13:F34</xm:sqref>
        </x14:dataValidation>
        <x14:dataValidation xr:uid="{04D5338D-24BC-4A69-BA7A-50913B0ECF3F}" type="list" allowBlank="1" errorStyle="stop" imeMode="noControl" operator="between" showDropDown="0" showErrorMessage="1" showInputMessage="1">
          <x14:formula1>
            <xm:f>$F$4:$F$6</xm:f>
          </x14:formula1>
          <xm:sqref>G13:G34</xm:sqref>
        </x14:dataValidation>
        <x14:dataValidation xr:uid="{392350BA-71D8-4131-8FA0-972B3DB3F3B4}" type="list" allowBlank="1" errorStyle="stop" imeMode="noControl" operator="between" showDropDown="0" showErrorMessage="1" showInputMessage="1">
          <x14:formula1>
            <xm:f>$F$4:$F$6</xm:f>
          </x14:formula1>
          <xm:sqref>G36:G39</xm:sqref>
        </x14:dataValidation>
        <x14:dataValidation xr:uid="{F40DFCA9-D4B1-4AD4-93FD-DDAC130CCBC6}" type="list" allowBlank="1" errorStyle="stop" imeMode="noControl" operator="between" showDropDown="0" showErrorMessage="1" showInputMessage="1">
          <x14:formula1>
            <xm:f>$F$4:$F$6</xm:f>
          </x14:formula1>
          <xm:sqref>G40:G42</xm:sqref>
        </x14:dataValidation>
        <x14:dataValidation xr:uid="{0F281E81-1A2D-4E00-ACE8-01F001B75888}" type="list" allowBlank="1" errorStyle="stop" imeMode="noControl" operator="between" showDropDown="0" showErrorMessage="1" showInputMessage="1">
          <x14:formula1>
            <xm:f>$F$4:$F$6</xm:f>
          </x14:formula1>
          <xm:sqref>G43:G45</xm:sqref>
        </x14:dataValidation>
        <x14:dataValidation xr:uid="{6066F420-118E-4D17-A7A8-404559BB4147}" type="list" allowBlank="1" errorStyle="stop" imeMode="noControl" operator="between" showDropDown="0" showErrorMessage="1" showInputMessage="1">
          <x14:formula1>
            <xm:f>$F$4:$F$6</xm:f>
          </x14:formula1>
          <xm:sqref>G46:G48</xm:sqref>
        </x14:dataValidation>
        <x14:dataValidation xr:uid="{12534331-4641-4FD1-A877-F3567A90116E}" type="list" allowBlank="1" errorStyle="stop" imeMode="noControl" operator="between" showDropDown="0" showErrorMessage="1" showInputMessage="1">
          <x14:formula1>
            <xm:f>$F$4:$F$6</xm:f>
          </x14:formula1>
          <xm:sqref>G49:G51</xm:sqref>
        </x14:dataValidation>
        <x14:dataValidation xr:uid="{78076B26-50EB-430E-A397-223E2BF810DC}" type="list" allowBlank="1" errorStyle="stop" imeMode="noControl" operator="between" showDropDown="0" showErrorMessage="1" showInputMessage="1">
          <x14:formula1>
            <xm:f>$F$4:$F$6</xm:f>
          </x14:formula1>
          <xm:sqref>G52:G54</xm:sqref>
        </x14:dataValidation>
        <x14:dataValidation xr:uid="{A1E21F89-369A-4DA2-8847-45E745DD3F97}" type="list" allowBlank="1" errorStyle="stop" imeMode="noControl" operator="between" showDropDown="0" showErrorMessage="1" showInputMessage="1">
          <x14:formula1>
            <xm:f>$F$4:$F$6</xm:f>
          </x14:formula1>
          <xm:sqref>G55:G57</xm:sqref>
        </x14:dataValidation>
        <x14:dataValidation xr:uid="{DE965A2B-7838-429C-91DD-881B627D9134}" type="list" allowBlank="1" errorStyle="stop" imeMode="noControl" operator="between" showDropDown="0" showErrorMessage="1" showInputMessage="1">
          <x14:formula1>
            <xm:f>$F$4:$F$6</xm:f>
          </x14:formula1>
          <xm:sqref>G58:G59</xm:sqref>
        </x14:dataValidation>
        <x14:dataValidation xr:uid="{F185D83B-5740-4866-9197-1B447C6B5352}" type="list" allowBlank="1" errorStyle="stop" imeMode="noControl" operator="between" showDropDown="0" showErrorMessage="1" showInputMessage="1">
          <x14:formula1>
            <xm:f>$B$4:$B$8</xm:f>
          </x14:formula1>
          <xm:sqref>F36:F39</xm:sqref>
        </x14:dataValidation>
        <x14:dataValidation xr:uid="{9140D37E-6BB1-48BC-9A7A-89E3CDA35F0E}" type="list" allowBlank="1" errorStyle="stop" imeMode="noControl" operator="between" showDropDown="0" showErrorMessage="1" showInputMessage="1">
          <x14:formula1>
            <xm:f>$B$4:$B$8</xm:f>
          </x14:formula1>
          <xm:sqref>F40:F42</xm:sqref>
        </x14:dataValidation>
        <x14:dataValidation xr:uid="{FA54E6B2-774B-4878-9595-156E1C5905EC}" type="list" allowBlank="1" errorStyle="stop" imeMode="noControl" operator="between" showDropDown="0" showErrorMessage="1" showInputMessage="1">
          <x14:formula1>
            <xm:f>$B$4:$B$8</xm:f>
          </x14:formula1>
          <xm:sqref>F43:F45</xm:sqref>
        </x14:dataValidation>
        <x14:dataValidation xr:uid="{298FED5C-404B-46FC-8111-AF988B9D309D}" type="list" allowBlank="1" errorStyle="stop" imeMode="noControl" operator="between" showDropDown="0" showErrorMessage="1" showInputMessage="1">
          <x14:formula1>
            <xm:f>$B$4:$B$8</xm:f>
          </x14:formula1>
          <xm:sqref>F46:F48</xm:sqref>
        </x14:dataValidation>
        <x14:dataValidation xr:uid="{85D4E9E2-878E-4C73-8D7D-B7178E515056}" type="list" allowBlank="1" errorStyle="stop" imeMode="noControl" operator="between" showDropDown="0" showErrorMessage="1" showInputMessage="1">
          <x14:formula1>
            <xm:f>$B$4:$B$8</xm:f>
          </x14:formula1>
          <xm:sqref>F49:F51</xm:sqref>
        </x14:dataValidation>
        <x14:dataValidation xr:uid="{EC3BCD86-F6E8-4147-9406-E9088C4D2B9F}" type="list" allowBlank="1" errorStyle="stop" imeMode="noControl" operator="between" showDropDown="0" showErrorMessage="1" showInputMessage="1">
          <x14:formula1>
            <xm:f>$B$4:$B$8</xm:f>
          </x14:formula1>
          <xm:sqref>F52:F54</xm:sqref>
        </x14:dataValidation>
        <x14:dataValidation xr:uid="{86DD180B-98A7-4FAC-9306-930C00307805}" type="list" allowBlank="1" errorStyle="stop" imeMode="noControl" operator="between" showDropDown="0" showErrorMessage="1" showInputMessage="1">
          <x14:formula1>
            <xm:f>$B$4:$B$8</xm:f>
          </x14:formula1>
          <xm:sqref>F55:F57</xm:sqref>
        </x14:dataValidation>
        <x14:dataValidation xr:uid="{73A60588-16C9-4D02-ABF8-51DA8CD1EAF8}" type="list" allowBlank="1" errorStyle="stop" imeMode="noControl" operator="between" showDropDown="0" showErrorMessage="1" showInputMessage="1">
          <x14:formula1>
            <xm:f>$B$4:$B$8</xm:f>
          </x14:formula1>
          <xm:sqref>F58:F59</xm:sqref>
        </x14:dataValidation>
        <x14:dataValidation xr:uid="{E446303C-8441-42F1-8612-104AB291081F}" type="list" allowBlank="1" errorStyle="stop" imeMode="noControl" operator="between" showDropDown="0" showErrorMessage="1" showInputMessage="1">
          <x14:formula1>
            <xm:f>$F$4:$F$6</xm:f>
          </x14:formula1>
          <xm:sqref>G61 G62 G63 G64 G65 G66 G67 G68 G69</xm:sqref>
        </x14:dataValidation>
        <x14:dataValidation xr:uid="{C8BD5A57-C518-4786-9EA5-067D0D34C8A9}" type="list" allowBlank="1" errorStyle="stop" imeMode="noControl" operator="between" showDropDown="0" showErrorMessage="1" showInputMessage="1">
          <x14:formula1>
            <xm:f>$B$4:$B$8</xm:f>
          </x14:formula1>
          <xm:sqref>F61 F62 F63 F64 F65 F66 F67 F68 F69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AskingMansOz</dc:creator>
  <cp:revision>17</cp:revision>
  <dcterms:created xsi:type="dcterms:W3CDTF">2015-06-05T18:19:34Z</dcterms:created>
  <dcterms:modified xsi:type="dcterms:W3CDTF">2026-10-24T06:36:45Z</dcterms:modified>
</cp:coreProperties>
</file>