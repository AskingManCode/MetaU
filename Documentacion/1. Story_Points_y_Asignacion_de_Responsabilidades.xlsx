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Default Extension="vml" ContentType="application/vnd.openxmlformats-officedocument.vmlDrawing"/>
  <Override PartName="/docProps/app.xml" ContentType="application/vnd.openxmlformats-officedocument.extended-properties+xml"/>
  <Override PartName="/xl/comments1.xml" ContentType="application/vnd.openxmlformats-officedocument.spreadsheetml.comments+xml"/>
  <Override PartName="/docProps/core.xml" ContentType="application/vnd.openxmlformats-package.core-properties+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Override PartName="/xl/persons/person.xml" ContentType="application/vnd.ms-excel.person+xml"/>
  <Override PartName="/xl/threadedComments/threadedComment1.xml" ContentType="application/vnd.ms-excel.threadedcomments+xml"/>
  <Override PartName="/xl/theme/theme1.xml" ContentType="application/vnd.openxmlformats-officedocument.theme+xml"/>
  <Override PartName="/xl/styles.xml" ContentType="application/vnd.openxmlformats-officedocument.spreadsheetml.styl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Peso Historias de Usuario" sheetId="1" state="visible" r:id="rId2"/>
  </sheets>
  <definedNames>
    <definedName name="solver_ver" localSheetId="0" hidden="1">3</definedName>
    <definedName name="solver_est" localSheetId="0" hidden="1">1</definedName>
    <definedName name="solver_nwt" localSheetId="0" hidden="1">1</definedName>
    <definedName name="solver_typ" localSheetId="0" hidden="1">1</definedName>
    <definedName name="solver_val" localSheetId="0" hidden="1">0</definedName>
    <definedName name="solver_neg" localSheetId="0" hidden="1">1</definedName>
    <definedName name="solver_eng" localSheetId="0" hidden="1">2</definedName>
    <definedName name="solver_pre" localSheetId="0" hidden="1">1</definedName>
    <definedName name="solver_scl" localSheetId="0" hidden="1">2</definedName>
    <definedName name="solver_tim" localSheetId="0" hidden="1">2147483647</definedName>
    <definedName name="solver_itr" localSheetId="0" hidden="1">2147483647</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tc={04CB6911-E216-5FFA-A00E-331AF1FB8FD4}</author>
    <author>tc={6A98EA58-EBE2-D560-1FEC-96EE11A8B0CE}</author>
  </authors>
  <commentList>
    <comment ref="C4" authorId="0" xr:uid="{04CB6911-E216-5FFA-A00E-331AF1FB8FD4}">
      <text>
        <r>
          <rPr>
            <b/>
            <sz val="9"/>
            <rFont val="Tahoma"/>
          </rPr>
          <t>AskingMansOz:</t>
        </r>
        <r>
          <rPr>
            <sz val="9"/>
            <rFont val="Tahoma"/>
          </rPr>
          <t xml:space="preserve">
Mide la carga de trabajo del equipo con base en el promedio de puntos acumulados por los integrantes:
* Verde: Por debajo del promedio (menor carga).
* Amarillo: En el promedio exacto (carga equilibrada).
* Rojo: Por encima del promedio (sobrecarga de trabajo).
Lo ideal es que la carga de trabajo se mantengan cerca del promedio.
</t>
        </r>
      </text>
    </comment>
    <comment ref="D4" authorId="1" xr:uid="{6A98EA58-EBE2-D560-1FEC-96EE11A8B0CE}">
      <text>
        <r>
          <rPr>
            <b/>
            <sz val="9"/>
            <rFont val="Tahoma"/>
          </rPr>
          <t>AskingMansOz:</t>
        </r>
        <r>
          <rPr>
            <sz val="9"/>
            <rFont val="Tahoma"/>
          </rPr>
          <t xml:space="preserve">
21.6 x Persona
</t>
        </r>
      </text>
    </comment>
  </commentList>
</comments>
</file>

<file path=xl/sharedStrings.xml><?xml version="1.0" encoding="utf-8"?>
<sst xmlns="http://schemas.openxmlformats.org/spreadsheetml/2006/main" count="140" uniqueCount="140">
  <si>
    <t xml:space="preserve">Integrantes Proyecto</t>
  </si>
  <si>
    <t xml:space="preserve">Puntaje Obtenido</t>
  </si>
  <si>
    <t xml:space="preserve">Cantidad Historias de Usuario Asignadas</t>
  </si>
  <si>
    <t xml:space="preserve">Estados Historia de Usuario</t>
  </si>
  <si>
    <t xml:space="preserve">Sebastián Jiménez Arrieta</t>
  </si>
  <si>
    <t xml:space="preserve">En Proceso</t>
  </si>
  <si>
    <t xml:space="preserve">Brandon Guido Navarro</t>
  </si>
  <si>
    <t>Completado</t>
  </si>
  <si>
    <t xml:space="preserve">Sebastián Obando Ramírez</t>
  </si>
  <si>
    <t xml:space="preserve">No Entregado</t>
  </si>
  <si>
    <t xml:space="preserve">Julián Solano Obando</t>
  </si>
  <si>
    <t xml:space="preserve">Anthony Gamboa Elizondo</t>
  </si>
  <si>
    <t>Total</t>
  </si>
  <si>
    <t>Modulo</t>
  </si>
  <si>
    <t>ID</t>
  </si>
  <si>
    <t xml:space="preserve">Historia de Usuario (Primer Sprint)</t>
  </si>
  <si>
    <t xml:space="preserve">Story Points</t>
  </si>
  <si>
    <t xml:space="preserve">Asignado a</t>
  </si>
  <si>
    <t>Estado</t>
  </si>
  <si>
    <t xml:space="preserve">Usuarios y roles</t>
  </si>
  <si>
    <t>USR1</t>
  </si>
  <si>
    <t xml:space="preserve">Servicio para Administrar Usuarios</t>
  </si>
  <si>
    <t>USR2</t>
  </si>
  <si>
    <t xml:space="preserve">Servicio para Administrar Roles</t>
  </si>
  <si>
    <t>USR3</t>
  </si>
  <si>
    <t xml:space="preserve">Servicio para Administrar Parametrización</t>
  </si>
  <si>
    <t>USR4</t>
  </si>
  <si>
    <t xml:space="preserve">Servicio para Administrar Módulos</t>
  </si>
  <si>
    <t>USR5</t>
  </si>
  <si>
    <t xml:space="preserve">Servicio para Login</t>
  </si>
  <si>
    <t xml:space="preserve">Oferta acádecima</t>
  </si>
  <si>
    <t>ACD1</t>
  </si>
  <si>
    <t xml:space="preserve">Servicio para Administrar Instituciones</t>
  </si>
  <si>
    <t>ACD2</t>
  </si>
  <si>
    <t xml:space="preserve">Servicio para Administrar Carreras</t>
  </si>
  <si>
    <t>ACD3</t>
  </si>
  <si>
    <t xml:space="preserve">Servicio para Administrar Cursos</t>
  </si>
  <si>
    <t>ACD4</t>
  </si>
  <si>
    <t xml:space="preserve">Servicio para Administrar Grupos</t>
  </si>
  <si>
    <t>ACD5</t>
  </si>
  <si>
    <t xml:space="preserve">Servicio para Administrar Periodos</t>
  </si>
  <si>
    <t>ACD6</t>
  </si>
  <si>
    <t xml:space="preserve">Servicio para Administrar Profesores</t>
  </si>
  <si>
    <t>Matrícula</t>
  </si>
  <si>
    <t>MAT1</t>
  </si>
  <si>
    <t xml:space="preserve">Servicio para Administrar Pre-Matrícula</t>
  </si>
  <si>
    <t>MAT2</t>
  </si>
  <si>
    <t xml:space="preserve">Servicio para Administrar Matrícula</t>
  </si>
  <si>
    <t>MAT3</t>
  </si>
  <si>
    <t xml:space="preserve">Servicio para Administrar Expedientes de Estudiantes</t>
  </si>
  <si>
    <t>MAT4</t>
  </si>
  <si>
    <t xml:space="preserve">Servicio para Administrar Direcciones</t>
  </si>
  <si>
    <t>MAT5</t>
  </si>
  <si>
    <t xml:space="preserve">Servicio para Admininstrar Notas</t>
  </si>
  <si>
    <t>Académico</t>
  </si>
  <si>
    <t>ACA1</t>
  </si>
  <si>
    <t xml:space="preserve">Servicio para Consultar Historial Académico</t>
  </si>
  <si>
    <t>ACA2</t>
  </si>
  <si>
    <t xml:space="preserve">Servicio para Consultar Listado de Estudiantes</t>
  </si>
  <si>
    <t xml:space="preserve">Integración de pagos y notificaciones</t>
  </si>
  <si>
    <t>IPN1</t>
  </si>
  <si>
    <t xml:space="preserve">Servicio para Administrar Facturación</t>
  </si>
  <si>
    <t>IPN2</t>
  </si>
  <si>
    <t xml:space="preserve">Servicio para Administrar Pagos</t>
  </si>
  <si>
    <t>IPN3</t>
  </si>
  <si>
    <t xml:space="preserve">Servicio para Gestiónar Notificaciones</t>
  </si>
  <si>
    <t>General</t>
  </si>
  <si>
    <t>GEN1</t>
  </si>
  <si>
    <t xml:space="preserve">Servicio para Registrar y Consultar Bitácoras</t>
  </si>
  <si>
    <t xml:space="preserve">Historia de Usuario (Segundo Sprint)</t>
  </si>
  <si>
    <t>Administración</t>
  </si>
  <si>
    <t>ADM1</t>
  </si>
  <si>
    <t xml:space="preserve">Plantilla General del Sitio Web </t>
  </si>
  <si>
    <t>ADM2</t>
  </si>
  <si>
    <t xml:space="preserve">Pantalla para Inicio de Sesión y Autenticación</t>
  </si>
  <si>
    <t>ADM3</t>
  </si>
  <si>
    <t xml:space="preserve">Pantalla de Bienvenida, Windgets, Notificaciones, etc</t>
  </si>
  <si>
    <t>ADM4</t>
  </si>
  <si>
    <t xml:space="preserve">Pantalla para Administrar Usuarios</t>
  </si>
  <si>
    <t>ADM5</t>
  </si>
  <si>
    <t xml:space="preserve">Pantalla para Administrar Roles</t>
  </si>
  <si>
    <t>ADM6</t>
  </si>
  <si>
    <t xml:space="preserve">Pantalla para Administrar Parametrización</t>
  </si>
  <si>
    <t>ADM7</t>
  </si>
  <si>
    <t xml:space="preserve">Pantalla para Administrar Módulos</t>
  </si>
  <si>
    <t>ADM8</t>
  </si>
  <si>
    <t xml:space="preserve">Pantalla para Administrar Instituciones</t>
  </si>
  <si>
    <t>ADM9</t>
  </si>
  <si>
    <t xml:space="preserve">Pantalla para Administrar Carreras</t>
  </si>
  <si>
    <t>ADM10</t>
  </si>
  <si>
    <t xml:space="preserve">Pantalla para Administrar Cursos</t>
  </si>
  <si>
    <t>ADM11</t>
  </si>
  <si>
    <t xml:space="preserve">Pantalla para Administrar Profesores</t>
  </si>
  <si>
    <t>ADM12</t>
  </si>
  <si>
    <t xml:space="preserve">Pantalla para Administrar Periodos</t>
  </si>
  <si>
    <t>ADM13</t>
  </si>
  <si>
    <t xml:space="preserve">Pantalla para Administrar Grupos</t>
  </si>
  <si>
    <t>ADM14</t>
  </si>
  <si>
    <t xml:space="preserve">Pantalla para Administrar Prematriculas</t>
  </si>
  <si>
    <t>ADM15</t>
  </si>
  <si>
    <t xml:space="preserve">Pantalla para Administrar Flujo Matrícula</t>
  </si>
  <si>
    <t>ADM16</t>
  </si>
  <si>
    <t xml:space="preserve">Pantalla para Administrar Expedientes</t>
  </si>
  <si>
    <t>ADM17</t>
  </si>
  <si>
    <t xml:space="preserve">Pantalla para Cargar Desglose y Asignar/Modificar Notas</t>
  </si>
  <si>
    <t>ADM18</t>
  </si>
  <si>
    <t xml:space="preserve">Pantalla para Consultar Promedios por Estudiante</t>
  </si>
  <si>
    <t>ADM19</t>
  </si>
  <si>
    <t xml:space="preserve">Pantalla para Consultar Listados por Periodo</t>
  </si>
  <si>
    <t>ADM20</t>
  </si>
  <si>
    <t xml:space="preserve">Pantalla para Administrar Facturas Ligadas a Matriculas</t>
  </si>
  <si>
    <t>ADM21</t>
  </si>
  <si>
    <t xml:space="preserve">Pantalla para Administrar Pagos</t>
  </si>
  <si>
    <t>ADM22</t>
  </si>
  <si>
    <t xml:space="preserve">Pantalla para Enviar Notificaciones por Correo</t>
  </si>
  <si>
    <t>ADM23</t>
  </si>
  <si>
    <t xml:space="preserve">Pantalla para Consultar Bitácoras</t>
  </si>
  <si>
    <t>ADM24</t>
  </si>
  <si>
    <t xml:space="preserve">Pantalla para Administrar "Mi Perfil" </t>
  </si>
  <si>
    <t xml:space="preserve">Historia de Usuario (Tercer Sprint)</t>
  </si>
  <si>
    <t>Mobile</t>
  </si>
  <si>
    <t>MOB0</t>
  </si>
  <si>
    <t xml:space="preserve">Plantilla General de la App Móvil</t>
  </si>
  <si>
    <t>MOB1</t>
  </si>
  <si>
    <t xml:space="preserve">Pantalla Móvil de Inicio de Sesión y Autenticación</t>
  </si>
  <si>
    <t>MOB2</t>
  </si>
  <si>
    <t xml:space="preserve">Pantalla Móvil con Resumenes de Estado, Widgets, etc</t>
  </si>
  <si>
    <t>MOB3</t>
  </si>
  <si>
    <t xml:space="preserve">Pantalla Móvil para Consultar "Mi Expediente' y Actualizar Datos</t>
  </si>
  <si>
    <t>MOB4</t>
  </si>
  <si>
    <t xml:space="preserve">Pantalla Móvil para Realizar Prematrícula</t>
  </si>
  <si>
    <t>MOB5</t>
  </si>
  <si>
    <t xml:space="preserve">Pantalla Móvil para Realizar Matrícula</t>
  </si>
  <si>
    <t>MOB6</t>
  </si>
  <si>
    <t xml:space="preserve">Pantalla Móvil para "Ver Mis Cursos" </t>
  </si>
  <si>
    <t>Gateway</t>
  </si>
  <si>
    <t>GTW1</t>
  </si>
  <si>
    <t xml:space="preserve">Gateway como punto único de entrada</t>
  </si>
  <si>
    <t>GTW2</t>
  </si>
  <si>
    <t xml:space="preserve">Autenticación y Autorización Centralizada</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</si>
</sst>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7">
    <font>
      <sz val="11.000000"/>
      <color theme="1"/>
      <name val="Calibri"/>
      <scheme val="minor"/>
    </font>
    <font>
      <sz val="11.000000"/>
      <color rgb="FF9C0006"/>
      <name val="Calibri"/>
      <scheme val="minor"/>
    </font>
    <font>
      <sz val="11.000000"/>
      <color rgb="FF9C6500"/>
      <name val="Calibri"/>
      <scheme val="minor"/>
    </font>
    <font>
      <sz val="11.000000"/>
      <color rgb="FF006100"/>
      <name val="Calibri"/>
      <scheme val="minor"/>
    </font>
    <font>
      <b/>
      <sz val="11.000000"/>
      <color theme="1"/>
      <name val="Calibri"/>
      <scheme val="minor"/>
    </font>
    <font>
      <u/>
      <sz val="11.000000"/>
      <color theme="1"/>
      <name val="Calibri"/>
      <scheme val="minor"/>
    </font>
    <font>
      <sz val="11.000000"/>
      <name val="Calibri"/>
      <scheme val="minor"/>
    </font>
  </fonts>
  <fills count="11">
    <fill>
      <patternFill patternType="none"/>
    </fill>
    <fill>
      <patternFill patternType="gray125"/>
    </fill>
    <fill>
      <patternFill patternType="solid">
        <fgColor rgb="FFFFC7CE"/>
        <bgColor rgb="FFFFC7CE"/>
      </patternFill>
    </fill>
    <fill>
      <patternFill patternType="solid">
        <fgColor rgb="FFFFEB9C"/>
        <bgColor rgb="FFFFEB9C"/>
      </patternFill>
    </fill>
    <fill>
      <patternFill patternType="solid">
        <fgColor rgb="FFC6EFCE"/>
        <bgColor rgb="FFC6EFCE"/>
      </patternFill>
    </fill>
    <fill>
      <patternFill patternType="solid">
        <fgColor rgb="FF00B0F0"/>
        <bgColor rgb="FF00B0F0"/>
      </patternFill>
    </fill>
    <fill>
      <patternFill patternType="solid">
        <fgColor theme="4" tint="0.39997558519241921"/>
        <bgColor theme="4" tint="0.39997558519241921"/>
      </patternFill>
    </fill>
    <fill>
      <patternFill patternType="solid">
        <fgColor theme="0" tint="-0.14999847407452621"/>
        <bgColor theme="0" tint="-0.14999847407452621"/>
      </patternFill>
    </fill>
    <fill>
      <patternFill patternType="solid">
        <fgColor rgb="FF92D050"/>
      </patternFill>
    </fill>
    <fill>
      <patternFill patternType="solid">
        <fgColor theme="3" tint="0.79998168889431442"/>
        <bgColor theme="3" tint="0.79998168889431442"/>
      </patternFill>
    </fill>
    <fill>
      <patternFill patternType="solid">
        <fgColor theme="4" tint="0.79998168889431442"/>
        <bgColor theme="4" tint="0.79998168889431442"/>
      </patternFill>
    </fill>
  </fills>
  <borders count="23">
    <border>
      <left style="none"/>
      <right style="none"/>
      <top style="none"/>
      <bottom style="none"/>
      <diagonal style="none"/>
    </border>
    <border>
      <left style="thick">
        <color auto="1"/>
      </left>
      <right style="thick">
        <color auto="1"/>
      </right>
      <top style="thick">
        <color auto="1"/>
      </top>
      <bottom style="thick">
        <color auto="1"/>
      </bottom>
      <diagonal style="none"/>
    </border>
    <border>
      <left style="thick">
        <color auto="1"/>
      </left>
      <right style="thick">
        <color auto="1"/>
      </right>
      <top style="none"/>
      <bottom style="thin">
        <color theme="1"/>
      </bottom>
      <diagonal style="none"/>
    </border>
    <border>
      <left style="none"/>
      <right style="none"/>
      <top style="none"/>
      <bottom style="thin">
        <color theme="1"/>
      </bottom>
      <diagonal style="none"/>
    </border>
    <border>
      <left style="thick">
        <color auto="1"/>
      </left>
      <right style="thick">
        <color auto="1"/>
      </right>
      <top style="thick">
        <color auto="1"/>
      </top>
      <bottom style="thin">
        <color theme="1"/>
      </bottom>
      <diagonal style="none"/>
    </border>
    <border>
      <left style="thick">
        <color auto="1"/>
      </left>
      <right style="thick">
        <color auto="1"/>
      </right>
      <top style="thin">
        <color theme="1"/>
      </top>
      <bottom style="thin">
        <color theme="1"/>
      </bottom>
      <diagonal style="none"/>
    </border>
    <border>
      <left style="thick">
        <color auto="1"/>
      </left>
      <right style="thick">
        <color auto="1"/>
      </right>
      <top style="thin">
        <color theme="1"/>
      </top>
      <bottom style="thick">
        <color auto="1"/>
      </bottom>
      <diagonal style="none"/>
    </border>
    <border>
      <left style="thick">
        <color auto="1"/>
      </left>
      <right style="thick">
        <color auto="1"/>
      </right>
      <top style="none"/>
      <bottom style="thick">
        <color auto="1"/>
      </bottom>
      <diagonal style="none"/>
    </border>
    <border>
      <left style="none"/>
      <right style="thick">
        <color auto="1"/>
      </right>
      <top style="thick">
        <color auto="1"/>
      </top>
      <bottom style="thick">
        <color auto="1"/>
      </bottom>
      <diagonal style="none"/>
    </border>
    <border>
      <left style="thick">
        <color auto="1"/>
      </left>
      <right style="thick">
        <color auto="1"/>
      </right>
      <top style="thick">
        <color auto="1"/>
      </top>
      <bottom style="none"/>
      <diagonal style="none"/>
    </border>
    <border>
      <left style="thick">
        <color auto="1"/>
      </left>
      <right style="none"/>
      <top style="none"/>
      <bottom style="thin">
        <color theme="1"/>
      </bottom>
      <diagonal style="none"/>
    </border>
    <border>
      <left style="none"/>
      <right style="none"/>
      <top style="thin">
        <color theme="1"/>
      </top>
      <bottom style="thin">
        <color theme="1"/>
      </bottom>
      <diagonal style="none"/>
    </border>
    <border>
      <left style="thick">
        <color auto="1"/>
      </left>
      <right style="none"/>
      <top style="thin">
        <color theme="1"/>
      </top>
      <bottom style="thin">
        <color theme="1"/>
      </bottom>
      <diagonal style="none"/>
    </border>
    <border>
      <left style="none"/>
      <right style="none"/>
      <top style="thin">
        <color theme="1"/>
      </top>
      <bottom style="thick">
        <color auto="1"/>
      </bottom>
      <diagonal style="none"/>
    </border>
    <border>
      <left style="thick">
        <color auto="1"/>
      </left>
      <right style="none"/>
      <top style="thin">
        <color theme="1"/>
      </top>
      <bottom style="thick">
        <color auto="1"/>
      </bottom>
      <diagonal style="none"/>
    </border>
    <border>
      <left style="thick">
        <color auto="1"/>
      </left>
      <right style="thick">
        <color auto="1"/>
      </right>
      <top style="thin">
        <color theme="1"/>
      </top>
      <bottom style="none"/>
      <diagonal style="none"/>
    </border>
    <border>
      <left style="thick">
        <color auto="1"/>
      </left>
      <right style="thick">
        <color auto="1"/>
      </right>
      <top style="none"/>
      <bottom style="none"/>
      <diagonal style="none"/>
    </border>
    <border>
      <left style="thick">
        <color auto="1"/>
      </left>
      <right style="none"/>
      <top style="none"/>
      <bottom style="none"/>
      <diagonal style="none"/>
    </border>
    <border>
      <left style="thick">
        <color auto="1"/>
      </left>
      <right style="none"/>
      <top style="thick">
        <color auto="1"/>
      </top>
      <bottom style="none"/>
      <diagonal style="none"/>
    </border>
    <border>
      <left style="thick">
        <color auto="1"/>
      </left>
      <right style="none"/>
      <top style="thick">
        <color auto="1"/>
      </top>
      <bottom style="thick">
        <color auto="1"/>
      </bottom>
      <diagonal style="none"/>
    </border>
    <border>
      <left style="thick">
        <color auto="1"/>
      </left>
      <right style="none"/>
      <top style="thick">
        <color auto="1"/>
      </top>
      <bottom style="thin">
        <color theme="1"/>
      </bottom>
      <diagonal style="none"/>
    </border>
    <border>
      <left style="thick">
        <color auto="1"/>
      </left>
      <right style="none"/>
      <top style="none"/>
      <bottom style="thick">
        <color auto="1"/>
      </bottom>
      <diagonal style="none"/>
    </border>
    <border>
      <left style="none"/>
      <right style="thick">
        <color auto="1"/>
      </right>
      <top style="none"/>
      <bottom style="thick">
        <color auto="1"/>
      </bottom>
      <diagonal style="none"/>
    </border>
  </borders>
  <cellStyleXfs count="4">
    <xf fontId="0" fillId="0" borderId="0" numFmtId="0" applyNumberFormat="1" applyFont="1" applyFill="1" applyBorder="1"/>
    <xf fontId="1" fillId="2" borderId="0" numFmtId="0" applyNumberFormat="0" applyFont="1" applyFill="1" applyBorder="0"/>
    <xf fontId="2" fillId="3" borderId="0" numFmtId="0" applyNumberFormat="0" applyFont="1" applyFill="1" applyBorder="0"/>
    <xf fontId="3" fillId="4" borderId="0" numFmtId="0" applyNumberFormat="0" applyFont="1" applyFill="1" applyBorder="0"/>
  </cellStyleXfs>
  <cellXfs count="73">
    <xf fontId="0" fillId="0" borderId="0" numFmtId="0" xfId="0"/>
    <xf fontId="0" fillId="0" borderId="0" numFmtId="0" xfId="0" applyAlignment="1">
      <alignment horizontal="center"/>
    </xf>
    <xf fontId="4" fillId="5" borderId="1" numFmtId="0" xfId="0" applyFont="1" applyFill="1" applyBorder="1" applyAlignment="1">
      <alignment horizontal="center" vertical="center"/>
    </xf>
    <xf fontId="4" fillId="6" borderId="2" numFmtId="0" xfId="0" applyFont="1" applyFill="1" applyBorder="1" applyAlignment="1">
      <alignment horizontal="center" vertical="center"/>
    </xf>
    <xf fontId="2" fillId="3" borderId="3" numFmtId="0" xfId="2" applyFont="1" applyFill="1" applyBorder="1" applyAlignment="1">
      <alignment horizontal="center" vertical="center"/>
    </xf>
    <xf fontId="0" fillId="7" borderId="2" numFmtId="0" xfId="0" applyFill="1" applyBorder="1" applyAlignment="1">
      <alignment horizontal="center" vertical="center"/>
    </xf>
    <xf fontId="2" fillId="3" borderId="4" numFmtId="0" xfId="2" applyFont="1" applyFill="1" applyBorder="1" applyAlignment="1">
      <alignment horizontal="center" vertical="center"/>
    </xf>
    <xf fontId="4" fillId="6" borderId="5" numFmtId="0" xfId="0" applyFont="1" applyFill="1" applyBorder="1" applyAlignment="1">
      <alignment horizontal="center" vertical="center"/>
    </xf>
    <xf fontId="3" fillId="4" borderId="5" numFmtId="0" xfId="3" applyFont="1" applyFill="1" applyBorder="1" applyAlignment="1">
      <alignment horizontal="center" vertical="center"/>
    </xf>
    <xf fontId="1" fillId="2" borderId="6" numFmtId="0" xfId="1" applyFont="1" applyFill="1" applyBorder="1" applyAlignment="1">
      <alignment horizontal="center" vertical="center"/>
    </xf>
    <xf fontId="4" fillId="6" borderId="6" numFmtId="0" xfId="0" applyFont="1" applyFill="1" applyBorder="1" applyAlignment="1">
      <alignment horizontal="center" vertical="center"/>
    </xf>
    <xf fontId="0" fillId="7" borderId="7" numFmtId="0" xfId="0" applyFill="1" applyBorder="1" applyAlignment="1">
      <alignment horizontal="center" vertical="center"/>
    </xf>
    <xf fontId="5" fillId="0" borderId="0" numFmtId="0" xfId="0" applyFont="1"/>
    <xf fontId="4" fillId="8" borderId="1" numFmtId="0" xfId="0" applyFont="1" applyFill="1" applyBorder="1" applyAlignment="1">
      <alignment horizontal="center" vertical="center"/>
    </xf>
    <xf fontId="4" fillId="8" borderId="8" numFmtId="0" xfId="0" applyFont="1" applyFill="1" applyBorder="1" applyAlignment="1">
      <alignment horizontal="center" vertical="center"/>
    </xf>
    <xf fontId="4" fillId="5" borderId="9" numFmtId="0" xfId="0" applyFont="1" applyFill="1" applyBorder="1" applyAlignment="1">
      <alignment horizontal="center" vertical="center"/>
    </xf>
    <xf fontId="0" fillId="9" borderId="2" numFmtId="0" xfId="0" applyFill="1" applyBorder="1" applyAlignment="1">
      <alignment horizontal="left" vertical="center"/>
    </xf>
    <xf fontId="4" fillId="9" borderId="3" numFmtId="0" xfId="0" applyFont="1" applyFill="1" applyBorder="1" applyAlignment="1">
      <alignment horizontal="center" vertical="center"/>
    </xf>
    <xf fontId="6" fillId="0" borderId="10" numFmtId="0" xfId="1" applyFont="1" applyBorder="1" applyAlignment="1">
      <alignment horizontal="center" vertical="center"/>
    </xf>
    <xf fontId="4" fillId="9" borderId="10" numFmtId="0" xfId="0" applyFont="1" applyFill="1" applyBorder="1" applyAlignment="1">
      <alignment horizontal="center" vertical="center"/>
    </xf>
    <xf fontId="4" fillId="9" borderId="4" numFmtId="0" xfId="0" applyFont="1" applyFill="1" applyBorder="1" applyAlignment="1">
      <alignment horizontal="center" vertical="center"/>
    </xf>
    <xf fontId="0" fillId="9" borderId="5" numFmtId="0" xfId="0" applyFill="1" applyBorder="1" applyAlignment="1">
      <alignment horizontal="left" vertical="center"/>
    </xf>
    <xf fontId="4" fillId="9" borderId="11" numFmtId="0" xfId="0" applyFont="1" applyFill="1" applyBorder="1" applyAlignment="1">
      <alignment horizontal="center" vertical="center"/>
    </xf>
    <xf fontId="6" fillId="0" borderId="12" numFmtId="0" xfId="2" applyFont="1" applyBorder="1" applyAlignment="1">
      <alignment horizontal="center" vertical="center"/>
    </xf>
    <xf fontId="4" fillId="9" borderId="12" numFmtId="0" xfId="0" applyFont="1" applyFill="1" applyBorder="1" applyAlignment="1">
      <alignment horizontal="center" vertical="center"/>
    </xf>
    <xf fontId="4" fillId="9" borderId="5" numFmtId="0" xfId="0" applyFont="1" applyFill="1" applyBorder="1" applyAlignment="1">
      <alignment horizontal="center" vertical="center"/>
    </xf>
    <xf fontId="0" fillId="9" borderId="6" numFmtId="0" xfId="0" applyFill="1" applyBorder="1" applyAlignment="1">
      <alignment horizontal="left" vertical="center"/>
    </xf>
    <xf fontId="4" fillId="9" borderId="13" numFmtId="0" xfId="0" applyFont="1" applyFill="1" applyBorder="1" applyAlignment="1">
      <alignment horizontal="center" vertical="center"/>
    </xf>
    <xf fontId="6" fillId="0" borderId="14" numFmtId="0" xfId="2" applyFont="1" applyBorder="1" applyAlignment="1">
      <alignment horizontal="center" vertical="center"/>
    </xf>
    <xf fontId="4" fillId="9" borderId="14" numFmtId="0" xfId="0" applyFont="1" applyFill="1" applyBorder="1" applyAlignment="1">
      <alignment horizontal="center" vertical="center"/>
    </xf>
    <xf fontId="4" fillId="9" borderId="6" numFmtId="0" xfId="0" applyFont="1" applyFill="1" applyBorder="1" applyAlignment="1">
      <alignment horizontal="center" vertical="center"/>
    </xf>
    <xf fontId="0" fillId="10" borderId="2" numFmtId="0" xfId="0" applyFill="1" applyBorder="1" applyAlignment="1">
      <alignment horizontal="left" vertical="center"/>
    </xf>
    <xf fontId="4" fillId="10" borderId="3" numFmtId="0" xfId="0" applyFont="1" applyFill="1" applyBorder="1" applyAlignment="1">
      <alignment horizontal="center" vertical="center"/>
    </xf>
    <xf fontId="6" fillId="0" borderId="10" numFmtId="0" xfId="2" applyFont="1" applyBorder="1" applyAlignment="1">
      <alignment horizontal="center" vertical="center"/>
    </xf>
    <xf fontId="4" fillId="10" borderId="10" numFmtId="0" xfId="0" applyFont="1" applyFill="1" applyBorder="1" applyAlignment="1">
      <alignment horizontal="center" vertical="center"/>
    </xf>
    <xf fontId="4" fillId="10" borderId="2" numFmtId="0" xfId="0" applyFont="1" applyFill="1" applyBorder="1" applyAlignment="1">
      <alignment horizontal="center" vertical="center"/>
    </xf>
    <xf fontId="0" fillId="10" borderId="5" numFmtId="0" xfId="0" applyFill="1" applyBorder="1" applyAlignment="1">
      <alignment horizontal="left" vertical="center"/>
    </xf>
    <xf fontId="4" fillId="10" borderId="11" numFmtId="0" xfId="0" applyFont="1" applyFill="1" applyBorder="1" applyAlignment="1">
      <alignment horizontal="center" vertical="center"/>
    </xf>
    <xf fontId="4" fillId="10" borderId="12" numFmtId="0" xfId="0" applyFont="1" applyFill="1" applyBorder="1" applyAlignment="1">
      <alignment horizontal="center" vertical="center"/>
    </xf>
    <xf fontId="4" fillId="10" borderId="5" numFmtId="0" xfId="0" applyFont="1" applyFill="1" applyBorder="1" applyAlignment="1">
      <alignment horizontal="center" vertical="center"/>
    </xf>
    <xf fontId="0" fillId="10" borderId="6" numFmtId="0" xfId="0" applyFill="1" applyBorder="1" applyAlignment="1">
      <alignment horizontal="left" vertical="center"/>
    </xf>
    <xf fontId="4" fillId="10" borderId="13" numFmtId="0" xfId="0" applyFont="1" applyFill="1" applyBorder="1" applyAlignment="1">
      <alignment horizontal="center" vertical="center"/>
    </xf>
    <xf fontId="4" fillId="10" borderId="14" numFmtId="0" xfId="0" applyFont="1" applyFill="1" applyBorder="1" applyAlignment="1">
      <alignment horizontal="center" vertical="center"/>
    </xf>
    <xf fontId="4" fillId="10" borderId="15" numFmtId="0" xfId="0" applyFont="1" applyFill="1" applyBorder="1" applyAlignment="1">
      <alignment horizontal="center" vertical="center"/>
    </xf>
    <xf fontId="6" fillId="0" borderId="12" numFmtId="0" xfId="1" applyFont="1" applyBorder="1" applyAlignment="1">
      <alignment horizontal="center" vertical="center"/>
    </xf>
    <xf fontId="0" fillId="9" borderId="12" numFmtId="0" xfId="0" applyFill="1" applyBorder="1" applyAlignment="1">
      <alignment horizontal="left" vertical="center"/>
    </xf>
    <xf fontId="6" fillId="0" borderId="12" numFmtId="0" xfId="3" applyFont="1" applyBorder="1" applyAlignment="1">
      <alignment horizontal="center" vertical="center"/>
    </xf>
    <xf fontId="6" fillId="0" borderId="14" numFmtId="0" xfId="1" applyFont="1" applyBorder="1" applyAlignment="1">
      <alignment horizontal="center" vertical="center"/>
    </xf>
    <xf fontId="4" fillId="9" borderId="15" numFmtId="0" xfId="0" applyFont="1" applyFill="1" applyBorder="1" applyAlignment="1">
      <alignment horizontal="center" vertical="center"/>
    </xf>
    <xf fontId="6" fillId="0" borderId="10" numFmtId="0" xfId="3" applyFont="1" applyBorder="1" applyAlignment="1">
      <alignment horizontal="center" vertical="center"/>
    </xf>
    <xf fontId="4" fillId="10" borderId="4" numFmtId="0" xfId="0" applyFont="1" applyFill="1" applyBorder="1" applyAlignment="1">
      <alignment horizontal="center" vertical="center"/>
    </xf>
    <xf fontId="6" fillId="0" borderId="14" numFmtId="0" xfId="3" applyFont="1" applyBorder="1" applyAlignment="1">
      <alignment horizontal="center" vertical="center"/>
    </xf>
    <xf fontId="0" fillId="10" borderId="16" numFmtId="0" xfId="0" applyFill="1" applyBorder="1" applyAlignment="1">
      <alignment horizontal="left" vertical="center"/>
    </xf>
    <xf fontId="4" fillId="10" borderId="0" numFmtId="0" xfId="0" applyFont="1" applyFill="1" applyAlignment="1">
      <alignment horizontal="center" vertical="center"/>
    </xf>
    <xf fontId="6" fillId="0" borderId="17" numFmtId="0" xfId="2" applyFont="1" applyBorder="1" applyAlignment="1">
      <alignment horizontal="center" vertical="center"/>
    </xf>
    <xf fontId="4" fillId="10" borderId="17" numFmtId="0" xfId="0" applyFont="1" applyFill="1" applyBorder="1" applyAlignment="1">
      <alignment horizontal="center" vertical="center"/>
    </xf>
    <xf fontId="4" fillId="10" borderId="1" numFmtId="0" xfId="0" applyFont="1" applyFill="1" applyBorder="1" applyAlignment="1">
      <alignment horizontal="center" vertical="center"/>
    </xf>
    <xf fontId="4" fillId="5" borderId="18" numFmtId="0" xfId="0" applyFont="1" applyFill="1" applyBorder="1" applyAlignment="1">
      <alignment horizontal="center" vertical="center"/>
    </xf>
    <xf fontId="4" fillId="5" borderId="19" numFmtId="0" xfId="0" applyFont="1" applyFill="1" applyBorder="1" applyAlignment="1">
      <alignment horizontal="center" vertical="center"/>
    </xf>
    <xf fontId="4" fillId="5" borderId="16" numFmtId="0" xfId="0" applyFont="1" applyFill="1" applyBorder="1" applyAlignment="1">
      <alignment horizontal="center" vertical="center"/>
    </xf>
    <xf fontId="0" fillId="9" borderId="20" numFmtId="0" xfId="0" applyFill="1" applyBorder="1" applyAlignment="1">
      <alignment horizontal="left" vertical="center"/>
    </xf>
    <xf fontId="4" fillId="9" borderId="20" numFmtId="0" xfId="0" applyFont="1" applyFill="1" applyBorder="1" applyAlignment="1">
      <alignment horizontal="center" vertical="center"/>
    </xf>
    <xf fontId="0" fillId="9" borderId="14" numFmtId="0" xfId="0" applyFill="1" applyBorder="1" applyAlignment="1">
      <alignment horizontal="left" vertical="center"/>
    </xf>
    <xf fontId="0" fillId="10" borderId="10" numFmtId="0" xfId="0" applyFill="1" applyBorder="1" applyAlignment="1">
      <alignment horizontal="left" vertical="center"/>
    </xf>
    <xf fontId="0" fillId="0" borderId="0" numFmtId="0" xfId="0"/>
    <xf fontId="0" fillId="10" borderId="12" numFmtId="0" xfId="0" applyFill="1" applyBorder="1" applyAlignment="1">
      <alignment horizontal="left" vertical="center"/>
    </xf>
    <xf fontId="0" fillId="10" borderId="21" numFmtId="0" xfId="0" applyFill="1" applyBorder="1" applyAlignment="1">
      <alignment horizontal="left" vertical="center"/>
    </xf>
    <xf fontId="0" fillId="10" borderId="14" numFmtId="0" xfId="0" applyFill="1" applyBorder="1" applyAlignment="1">
      <alignment horizontal="left" vertical="center"/>
    </xf>
    <xf fontId="0" fillId="9" borderId="4" numFmtId="0" xfId="0" applyFill="1" applyBorder="1" applyAlignment="1">
      <alignment horizontal="left" vertical="center"/>
    </xf>
    <xf fontId="6" fillId="0" borderId="4" numFmtId="0" xfId="2" applyFont="1" applyBorder="1" applyAlignment="1">
      <alignment horizontal="center" vertical="center"/>
    </xf>
    <xf fontId="6" fillId="0" borderId="6" numFmtId="0" xfId="2" applyFont="1" applyBorder="1" applyAlignment="1">
      <alignment horizontal="center" vertical="center"/>
    </xf>
    <xf fontId="4" fillId="8" borderId="7" numFmtId="0" xfId="0" applyFont="1" applyFill="1" applyBorder="1" applyAlignment="1">
      <alignment horizontal="center"/>
    </xf>
    <xf fontId="4" fillId="8" borderId="22" numFmtId="0" xfId="0" applyFont="1" applyFill="1" applyBorder="1" applyAlignment="1">
      <alignment horizontal="center"/>
    </xf>
  </cellXfs>
  <cellStyles count="4">
    <cellStyle name="Normal" xfId="0" builtinId="0"/>
    <cellStyle name="Bad" xfId="1" builtinId="27"/>
    <cellStyle name="Neutral" xfId="2" builtinId="28"/>
    <cellStyle name="Good" xfId="3" builtinId="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microsoft.com/office/2017/10/relationships/person" Target="persons/person.xml"/><Relationship  Id="rId2" Type="http://schemas.openxmlformats.org/officeDocument/2006/relationships/worksheet" Target="worksheets/sheet1.xml"/><Relationship  Id="rId3" Type="http://schemas.openxmlformats.org/officeDocument/2006/relationships/theme" Target="theme/theme1.xml"/><Relationship  Id="rId4" Type="http://schemas.openxmlformats.org/officeDocument/2006/relationships/sharedStrings" Target="sharedStrings.xml"/><Relationship  Id="rId5"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AskingMansOz" id="{A9933E08-2285-B9BF-868D-B69CDC4BF782}" userId="AskingMansOz" providerId="Teamlab"/>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C4" dT="2026-09-19T09:13:08.03Z" personId="{A9933E08-2285-B9BF-868D-B69CDC4BF782}" id="{04CB6911-E216-5FFA-A00E-331AF1FB8FD4}" done="1">
    <text xml:space="preserve">Mide la carga de trabajo del equipo con base en el promedio de puntos acumulados por los integrantes:
* Verde: Por debajo del promedio (menor carga).
* Amarillo: En el promedio exacto (carga equilibrada).
* Rojo: Por encima del promedio (sobrecarga de trabajo).
Lo ideal es que la carga de trabajo se mantengan cerca del promedio.
</text>
  </threadedComment>
  <threadedComment ref="D4" dT="2026-09-25T19:25:05.93Z" personId="{A9933E08-2285-B9BF-868D-B69CDC4BF782}" id="{6A98EA58-EBE2-D560-1FEC-96EE11A8B0CE}" done="1">
    <text xml:space="preserve">21.6 x Persona
</text>
  </threadedComment>
</ThreadedComments>
</file>

<file path=xl/worksheets/_rels/sheet1.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J12" activeCellId="0" sqref="J12"/>
    </sheetView>
  </sheetViews>
  <sheetFormatPr baseColWidth="10" defaultColWidth="8.88671875" defaultRowHeight="14.25"/>
  <cols>
    <col customWidth="1" min="2" max="2" width="33.28125"/>
    <col customWidth="1" min="3" max="3" width="17.140625"/>
    <col customWidth="1" min="4" max="4" width="58.140625"/>
    <col customWidth="1" min="5" max="5" style="1" width="12.421875"/>
    <col customWidth="1" min="6" max="6" width="27.00390625"/>
    <col customWidth="1" min="7" max="7" width="18.421875"/>
    <col bestFit="1" customWidth="1" min="8" max="8" width="11.421875"/>
    <col bestFit="1" min="9" max="9" width="11.421875"/>
    <col customWidth="1" min="10" max="10" width="20.28125"/>
    <col customWidth="1" min="11" max="11" width="19.421875"/>
    <col bestFit="1" min="12" max="12" width="18.77734375"/>
    <col customWidth="1" min="13" max="13" width="9.109375"/>
  </cols>
  <sheetData>
    <row r="2" ht="14.25">
      <c r="E2" s="1"/>
    </row>
    <row r="3" ht="17.399999999999999" customHeight="1">
      <c r="B3" s="2" t="s">
        <v>0</v>
      </c>
      <c r="C3" s="2" t="s">
        <v>1</v>
      </c>
      <c r="D3" s="2" t="s">
        <v>2</v>
      </c>
      <c r="F3" s="2" t="s">
        <v>3</v>
      </c>
    </row>
    <row r="4" ht="14.25">
      <c r="B4" s="3" t="s">
        <v>4</v>
      </c>
      <c r="C4" s="4">
        <f>SUMIF($F$13:$F$135,B4,$E$13:$E$135)</f>
        <v>21</v>
      </c>
      <c r="D4" s="5">
        <f>COUNTIF($E$13:$F$135,B4)</f>
        <v>5</v>
      </c>
      <c r="F4" s="6" t="s">
        <v>5</v>
      </c>
    </row>
    <row r="5">
      <c r="B5" s="7" t="s">
        <v>6</v>
      </c>
      <c r="C5" s="4">
        <f>SUMIF($F$13:$F$135,B5,$E$13:$E$135)</f>
        <v>21</v>
      </c>
      <c r="D5" s="5">
        <f>COUNTIF($E$13:$F$135,B5)</f>
        <v>4</v>
      </c>
      <c r="F5" s="8" t="s">
        <v>7</v>
      </c>
    </row>
    <row r="6" ht="42.75">
      <c r="B6" s="7" t="s">
        <v>8</v>
      </c>
      <c r="C6" s="4">
        <f>SUMIF($F$13:$F$135,B6,$E$13:$E$135)</f>
        <v>20</v>
      </c>
      <c r="D6" s="5">
        <f>COUNTIF($E$13:$F$135,B6)</f>
        <v>5</v>
      </c>
      <c r="F6" s="9" t="s">
        <v>9</v>
      </c>
    </row>
    <row r="7" ht="28.5">
      <c r="B7" s="7" t="s">
        <v>10</v>
      </c>
      <c r="C7" s="4">
        <f>SUMIF($F$13:$F$135,B7,$E$13:$E$135)</f>
        <v>23</v>
      </c>
      <c r="D7" s="5">
        <f>COUNTIF($E$13:$F$135,B7)</f>
        <v>4</v>
      </c>
    </row>
    <row r="8" ht="28.5">
      <c r="B8" s="10" t="s">
        <v>11</v>
      </c>
      <c r="C8" s="4">
        <f>SUMIF($F$13:$F$135,B8,$E$13:$E$135)</f>
        <v>23</v>
      </c>
      <c r="D8" s="11">
        <f>COUNTIF($E$13:$F$135,B8)</f>
        <v>4</v>
      </c>
      <c r="H8" s="12"/>
    </row>
    <row r="9" ht="28.5">
      <c r="B9" s="13" t="s">
        <v>12</v>
      </c>
      <c r="C9" s="14">
        <f>SUM(C4:C8)</f>
        <v>108</v>
      </c>
    </row>
    <row r="10" ht="15"/>
    <row r="11" ht="15.6"/>
    <row r="12" ht="17.399999999999999" customHeight="1">
      <c r="B12" s="2" t="s">
        <v>13</v>
      </c>
      <c r="C12" s="2" t="s">
        <v>14</v>
      </c>
      <c r="D12" s="2" t="s">
        <v>15</v>
      </c>
      <c r="E12" s="2" t="s">
        <v>16</v>
      </c>
      <c r="F12" s="2" t="s">
        <v>17</v>
      </c>
      <c r="G12" s="15" t="s">
        <v>18</v>
      </c>
    </row>
    <row r="13" ht="71.25">
      <c r="B13" s="16" t="s">
        <v>19</v>
      </c>
      <c r="C13" s="17" t="s">
        <v>20</v>
      </c>
      <c r="D13" s="16" t="s">
        <v>21</v>
      </c>
      <c r="E13" s="18">
        <v>8</v>
      </c>
      <c r="F13" s="19" t="s">
        <v>6</v>
      </c>
      <c r="G13" s="20" t="s">
        <v>7</v>
      </c>
    </row>
    <row r="14" ht="42.75">
      <c r="B14" s="21" t="s">
        <v>19</v>
      </c>
      <c r="C14" s="22" t="s">
        <v>22</v>
      </c>
      <c r="D14" s="21" t="s">
        <v>23</v>
      </c>
      <c r="E14" s="23">
        <v>5</v>
      </c>
      <c r="F14" s="24" t="s">
        <v>6</v>
      </c>
      <c r="G14" s="25" t="s">
        <v>7</v>
      </c>
    </row>
    <row r="15" ht="71.25">
      <c r="B15" s="21" t="s">
        <v>19</v>
      </c>
      <c r="C15" s="22" t="s">
        <v>24</v>
      </c>
      <c r="D15" s="21" t="s">
        <v>25</v>
      </c>
      <c r="E15" s="23">
        <v>5</v>
      </c>
      <c r="F15" s="24" t="s">
        <v>4</v>
      </c>
      <c r="G15" s="25" t="s">
        <v>7</v>
      </c>
    </row>
    <row r="16" ht="28.5">
      <c r="B16" s="21" t="s">
        <v>19</v>
      </c>
      <c r="C16" s="22" t="s">
        <v>26</v>
      </c>
      <c r="D16" s="21" t="s">
        <v>27</v>
      </c>
      <c r="E16" s="23">
        <v>5</v>
      </c>
      <c r="F16" s="24" t="s">
        <v>6</v>
      </c>
      <c r="G16" s="25" t="s">
        <v>7</v>
      </c>
    </row>
    <row r="17" ht="71.25">
      <c r="B17" s="26" t="s">
        <v>19</v>
      </c>
      <c r="C17" s="27" t="s">
        <v>28</v>
      </c>
      <c r="D17" s="26" t="s">
        <v>29</v>
      </c>
      <c r="E17" s="28">
        <v>8</v>
      </c>
      <c r="F17" s="29" t="s">
        <v>10</v>
      </c>
      <c r="G17" s="30" t="s">
        <v>7</v>
      </c>
    </row>
    <row r="18" ht="42.75">
      <c r="B18" s="31" t="s">
        <v>30</v>
      </c>
      <c r="C18" s="32" t="s">
        <v>31</v>
      </c>
      <c r="D18" s="31" t="s">
        <v>32</v>
      </c>
      <c r="E18" s="33">
        <v>5</v>
      </c>
      <c r="F18" s="34" t="s">
        <v>10</v>
      </c>
      <c r="G18" s="35" t="s">
        <v>7</v>
      </c>
    </row>
    <row r="19" ht="57">
      <c r="B19" s="36" t="s">
        <v>30</v>
      </c>
      <c r="C19" s="37" t="s">
        <v>33</v>
      </c>
      <c r="D19" s="36" t="s">
        <v>34</v>
      </c>
      <c r="E19" s="23">
        <v>5</v>
      </c>
      <c r="F19" s="38" t="s">
        <v>10</v>
      </c>
      <c r="G19" s="39" t="s">
        <v>7</v>
      </c>
    </row>
    <row r="20" ht="42.75">
      <c r="B20" s="36" t="s">
        <v>30</v>
      </c>
      <c r="C20" s="37" t="s">
        <v>35</v>
      </c>
      <c r="D20" s="36" t="s">
        <v>36</v>
      </c>
      <c r="E20" s="23">
        <v>5</v>
      </c>
      <c r="F20" s="38" t="s">
        <v>10</v>
      </c>
      <c r="G20" s="39" t="s">
        <v>7</v>
      </c>
    </row>
    <row r="21" ht="57">
      <c r="B21" s="36" t="s">
        <v>30</v>
      </c>
      <c r="C21" s="37" t="s">
        <v>37</v>
      </c>
      <c r="D21" s="36" t="s">
        <v>38</v>
      </c>
      <c r="E21" s="23">
        <v>5</v>
      </c>
      <c r="F21" s="38" t="s">
        <v>8</v>
      </c>
      <c r="G21" s="39" t="s">
        <v>7</v>
      </c>
    </row>
    <row r="22" ht="42.75">
      <c r="B22" s="36" t="s">
        <v>30</v>
      </c>
      <c r="C22" s="37" t="s">
        <v>39</v>
      </c>
      <c r="D22" s="36" t="s">
        <v>40</v>
      </c>
      <c r="E22" s="23">
        <v>5</v>
      </c>
      <c r="F22" s="38" t="s">
        <v>8</v>
      </c>
      <c r="G22" s="39" t="s">
        <v>7</v>
      </c>
    </row>
    <row r="23" ht="57">
      <c r="B23" s="40" t="s">
        <v>30</v>
      </c>
      <c r="C23" s="41" t="s">
        <v>41</v>
      </c>
      <c r="D23" s="40" t="s">
        <v>42</v>
      </c>
      <c r="E23" s="28">
        <v>5</v>
      </c>
      <c r="F23" s="42" t="s">
        <v>8</v>
      </c>
      <c r="G23" s="43" t="s">
        <v>7</v>
      </c>
    </row>
    <row r="24" ht="57">
      <c r="B24" s="16" t="s">
        <v>43</v>
      </c>
      <c r="C24" s="17" t="s">
        <v>44</v>
      </c>
      <c r="D24" s="16" t="s">
        <v>45</v>
      </c>
      <c r="E24" s="18">
        <v>5</v>
      </c>
      <c r="F24" s="19" t="s">
        <v>11</v>
      </c>
      <c r="G24" s="20" t="s">
        <v>7</v>
      </c>
    </row>
    <row r="25" ht="57">
      <c r="B25" s="21" t="s">
        <v>43</v>
      </c>
      <c r="C25" s="22" t="s">
        <v>46</v>
      </c>
      <c r="D25" s="21" t="s">
        <v>47</v>
      </c>
      <c r="E25" s="44">
        <v>5</v>
      </c>
      <c r="F25" s="24" t="s">
        <v>11</v>
      </c>
      <c r="G25" s="25" t="s">
        <v>7</v>
      </c>
    </row>
    <row r="26" ht="57">
      <c r="B26" s="21" t="s">
        <v>43</v>
      </c>
      <c r="C26" s="22" t="s">
        <v>48</v>
      </c>
      <c r="D26" s="45" t="s">
        <v>49</v>
      </c>
      <c r="E26" s="23">
        <v>5</v>
      </c>
      <c r="F26" s="24" t="s">
        <v>11</v>
      </c>
      <c r="G26" s="25" t="s">
        <v>7</v>
      </c>
    </row>
    <row r="27" ht="57">
      <c r="B27" s="21" t="s">
        <v>43</v>
      </c>
      <c r="C27" s="22" t="s">
        <v>50</v>
      </c>
      <c r="D27" s="21" t="s">
        <v>51</v>
      </c>
      <c r="E27" s="46">
        <v>3</v>
      </c>
      <c r="F27" s="24" t="s">
        <v>4</v>
      </c>
      <c r="G27" s="25" t="s">
        <v>7</v>
      </c>
    </row>
    <row r="28" ht="57">
      <c r="B28" s="26" t="s">
        <v>43</v>
      </c>
      <c r="C28" s="27" t="s">
        <v>52</v>
      </c>
      <c r="D28" s="26" t="s">
        <v>53</v>
      </c>
      <c r="E28" s="47">
        <v>8</v>
      </c>
      <c r="F28" s="29" t="s">
        <v>11</v>
      </c>
      <c r="G28" s="48" t="s">
        <v>7</v>
      </c>
    </row>
    <row r="29" ht="42.75">
      <c r="B29" s="31" t="s">
        <v>54</v>
      </c>
      <c r="C29" s="32" t="s">
        <v>55</v>
      </c>
      <c r="D29" s="31" t="s">
        <v>56</v>
      </c>
      <c r="E29" s="49">
        <v>3</v>
      </c>
      <c r="F29" s="34" t="s">
        <v>8</v>
      </c>
      <c r="G29" s="50" t="s">
        <v>7</v>
      </c>
    </row>
    <row r="30" ht="42.75">
      <c r="B30" s="40" t="s">
        <v>54</v>
      </c>
      <c r="C30" s="41" t="s">
        <v>57</v>
      </c>
      <c r="D30" s="40" t="s">
        <v>58</v>
      </c>
      <c r="E30" s="51">
        <v>3</v>
      </c>
      <c r="F30" s="42" t="s">
        <v>6</v>
      </c>
      <c r="G30" s="43" t="s">
        <v>7</v>
      </c>
    </row>
    <row r="31" ht="57">
      <c r="B31" s="16" t="s">
        <v>59</v>
      </c>
      <c r="C31" s="17" t="s">
        <v>60</v>
      </c>
      <c r="D31" s="16" t="s">
        <v>61</v>
      </c>
      <c r="E31" s="18">
        <v>5</v>
      </c>
      <c r="F31" s="19" t="s">
        <v>4</v>
      </c>
      <c r="G31" s="20" t="s">
        <v>7</v>
      </c>
    </row>
    <row r="32" ht="57">
      <c r="B32" s="21" t="s">
        <v>59</v>
      </c>
      <c r="C32" s="22" t="s">
        <v>62</v>
      </c>
      <c r="D32" s="21" t="s">
        <v>63</v>
      </c>
      <c r="E32" s="44">
        <v>5</v>
      </c>
      <c r="F32" s="24" t="s">
        <v>4</v>
      </c>
      <c r="G32" s="25" t="s">
        <v>7</v>
      </c>
    </row>
    <row r="33" ht="42.75">
      <c r="B33" s="26" t="s">
        <v>59</v>
      </c>
      <c r="C33" s="27" t="s">
        <v>64</v>
      </c>
      <c r="D33" s="26" t="s">
        <v>65</v>
      </c>
      <c r="E33" s="51">
        <v>3</v>
      </c>
      <c r="F33" s="29" t="s">
        <v>4</v>
      </c>
      <c r="G33" s="48" t="s">
        <v>7</v>
      </c>
    </row>
    <row r="34" ht="57">
      <c r="B34" s="52" t="s">
        <v>66</v>
      </c>
      <c r="C34" s="53" t="s">
        <v>67</v>
      </c>
      <c r="D34" s="52" t="s">
        <v>68</v>
      </c>
      <c r="E34" s="54">
        <v>2</v>
      </c>
      <c r="F34" s="55" t="s">
        <v>8</v>
      </c>
      <c r="G34" s="56" t="s">
        <v>7</v>
      </c>
    </row>
    <row r="35" ht="57">
      <c r="B35" s="57" t="s">
        <v>13</v>
      </c>
      <c r="C35" s="57" t="s">
        <v>14</v>
      </c>
      <c r="D35" s="57" t="s">
        <v>69</v>
      </c>
      <c r="E35" s="2" t="s">
        <v>16</v>
      </c>
      <c r="F35" s="58" t="s">
        <v>17</v>
      </c>
      <c r="G35" s="59" t="s">
        <v>18</v>
      </c>
    </row>
    <row r="36" ht="57">
      <c r="B36" s="60" t="s">
        <v>70</v>
      </c>
      <c r="C36" s="61" t="s">
        <v>71</v>
      </c>
      <c r="D36" s="60" t="s">
        <v>72</v>
      </c>
      <c r="E36" s="33"/>
      <c r="F36" s="19"/>
      <c r="G36" s="50"/>
    </row>
    <row r="37" ht="57">
      <c r="B37" s="45" t="s">
        <v>70</v>
      </c>
      <c r="C37" s="24" t="s">
        <v>73</v>
      </c>
      <c r="D37" s="45" t="s">
        <v>74</v>
      </c>
      <c r="E37" s="23"/>
      <c r="F37" s="24"/>
      <c r="G37" s="39"/>
    </row>
    <row r="38" ht="57">
      <c r="B38" s="45" t="s">
        <v>70</v>
      </c>
      <c r="C38" s="24" t="s">
        <v>75</v>
      </c>
      <c r="D38" s="45" t="s">
        <v>76</v>
      </c>
      <c r="E38" s="23"/>
      <c r="F38" s="24"/>
      <c r="G38" s="39"/>
    </row>
    <row r="39" ht="57">
      <c r="B39" s="45" t="s">
        <v>70</v>
      </c>
      <c r="C39" s="24" t="s">
        <v>77</v>
      </c>
      <c r="D39" s="45" t="s">
        <v>78</v>
      </c>
      <c r="E39" s="23"/>
      <c r="F39" s="24"/>
      <c r="G39" s="39"/>
    </row>
    <row r="40" ht="57">
      <c r="B40" s="45" t="s">
        <v>70</v>
      </c>
      <c r="C40" s="24" t="s">
        <v>79</v>
      </c>
      <c r="D40" s="45" t="s">
        <v>80</v>
      </c>
      <c r="E40" s="23"/>
      <c r="F40" s="24"/>
      <c r="G40" s="39"/>
    </row>
    <row r="41" ht="57">
      <c r="B41" s="45" t="s">
        <v>70</v>
      </c>
      <c r="C41" s="24" t="s">
        <v>81</v>
      </c>
      <c r="D41" s="45" t="s">
        <v>82</v>
      </c>
      <c r="E41" s="23"/>
      <c r="F41" s="24"/>
      <c r="G41" s="39"/>
    </row>
    <row r="42" ht="57">
      <c r="B42" s="45" t="s">
        <v>70</v>
      </c>
      <c r="C42" s="24" t="s">
        <v>83</v>
      </c>
      <c r="D42" s="45" t="s">
        <v>84</v>
      </c>
      <c r="E42" s="23"/>
      <c r="F42" s="24"/>
      <c r="G42" s="39"/>
    </row>
    <row r="43" ht="57">
      <c r="B43" s="45" t="s">
        <v>70</v>
      </c>
      <c r="C43" s="24" t="s">
        <v>85</v>
      </c>
      <c r="D43" s="45" t="s">
        <v>86</v>
      </c>
      <c r="E43" s="23"/>
      <c r="F43" s="24"/>
      <c r="G43" s="39"/>
    </row>
    <row r="44" ht="57">
      <c r="B44" s="45" t="s">
        <v>70</v>
      </c>
      <c r="C44" s="24" t="s">
        <v>87</v>
      </c>
      <c r="D44" s="45" t="s">
        <v>88</v>
      </c>
      <c r="E44" s="23"/>
      <c r="F44" s="24"/>
      <c r="G44" s="39"/>
    </row>
    <row r="45" ht="57">
      <c r="B45" s="45" t="s">
        <v>70</v>
      </c>
      <c r="C45" s="24" t="s">
        <v>89</v>
      </c>
      <c r="D45" s="45" t="s">
        <v>90</v>
      </c>
      <c r="E45" s="23"/>
      <c r="F45" s="24"/>
      <c r="G45" s="39"/>
    </row>
    <row r="46" ht="57">
      <c r="B46" s="45" t="s">
        <v>70</v>
      </c>
      <c r="C46" s="24" t="s">
        <v>91</v>
      </c>
      <c r="D46" s="45" t="s">
        <v>92</v>
      </c>
      <c r="E46" s="23"/>
      <c r="F46" s="24"/>
      <c r="G46" s="39"/>
    </row>
    <row r="47" ht="57">
      <c r="B47" s="45" t="s">
        <v>70</v>
      </c>
      <c r="C47" s="24" t="s">
        <v>93</v>
      </c>
      <c r="D47" s="45" t="s">
        <v>94</v>
      </c>
      <c r="E47" s="23"/>
      <c r="F47" s="24"/>
      <c r="G47" s="39"/>
    </row>
    <row r="48" ht="57">
      <c r="B48" s="45" t="s">
        <v>70</v>
      </c>
      <c r="C48" s="24" t="s">
        <v>95</v>
      </c>
      <c r="D48" s="45" t="s">
        <v>96</v>
      </c>
      <c r="E48" s="23"/>
      <c r="F48" s="24"/>
      <c r="G48" s="39"/>
    </row>
    <row r="49" ht="57">
      <c r="B49" s="45" t="s">
        <v>70</v>
      </c>
      <c r="C49" s="24" t="s">
        <v>97</v>
      </c>
      <c r="D49" s="45" t="s">
        <v>98</v>
      </c>
      <c r="E49" s="23"/>
      <c r="F49" s="24"/>
      <c r="G49" s="39"/>
    </row>
    <row r="50" ht="57">
      <c r="B50" s="45" t="s">
        <v>70</v>
      </c>
      <c r="C50" s="24" t="s">
        <v>99</v>
      </c>
      <c r="D50" s="45" t="s">
        <v>100</v>
      </c>
      <c r="E50" s="23"/>
      <c r="F50" s="24"/>
      <c r="G50" s="39"/>
    </row>
    <row r="51" ht="57">
      <c r="B51" s="45" t="s">
        <v>70</v>
      </c>
      <c r="C51" s="24" t="s">
        <v>101</v>
      </c>
      <c r="D51" s="45" t="s">
        <v>102</v>
      </c>
      <c r="E51" s="23"/>
      <c r="F51" s="24"/>
      <c r="G51" s="39"/>
    </row>
    <row r="52" ht="57">
      <c r="B52" s="45" t="s">
        <v>70</v>
      </c>
      <c r="C52" s="24" t="s">
        <v>103</v>
      </c>
      <c r="D52" s="45" t="s">
        <v>104</v>
      </c>
      <c r="E52" s="23"/>
      <c r="F52" s="24"/>
      <c r="G52" s="39"/>
    </row>
    <row r="53" ht="57">
      <c r="B53" s="45" t="s">
        <v>70</v>
      </c>
      <c r="C53" s="24" t="s">
        <v>105</v>
      </c>
      <c r="D53" s="45" t="s">
        <v>106</v>
      </c>
      <c r="E53" s="23"/>
      <c r="F53" s="24"/>
      <c r="G53" s="39"/>
    </row>
    <row r="54" ht="57">
      <c r="B54" s="45" t="s">
        <v>70</v>
      </c>
      <c r="C54" s="24" t="s">
        <v>107</v>
      </c>
      <c r="D54" s="45" t="s">
        <v>108</v>
      </c>
      <c r="E54" s="23"/>
      <c r="F54" s="24"/>
      <c r="G54" s="39"/>
    </row>
    <row r="55" ht="57">
      <c r="B55" s="45" t="s">
        <v>70</v>
      </c>
      <c r="C55" s="24" t="s">
        <v>109</v>
      </c>
      <c r="D55" s="45" t="s">
        <v>110</v>
      </c>
      <c r="E55" s="23"/>
      <c r="F55" s="24"/>
      <c r="G55" s="39"/>
    </row>
    <row r="56" ht="57">
      <c r="B56" s="45" t="s">
        <v>70</v>
      </c>
      <c r="C56" s="24" t="s">
        <v>111</v>
      </c>
      <c r="D56" s="45" t="s">
        <v>112</v>
      </c>
      <c r="E56" s="23"/>
      <c r="F56" s="24"/>
      <c r="G56" s="39"/>
    </row>
    <row r="57" ht="57">
      <c r="B57" s="45" t="s">
        <v>70</v>
      </c>
      <c r="C57" s="24" t="s">
        <v>113</v>
      </c>
      <c r="D57" s="45" t="s">
        <v>114</v>
      </c>
      <c r="E57" s="23"/>
      <c r="F57" s="24"/>
      <c r="G57" s="39"/>
    </row>
    <row r="58" ht="57">
      <c r="B58" s="45" t="s">
        <v>70</v>
      </c>
      <c r="C58" s="24" t="s">
        <v>115</v>
      </c>
      <c r="D58" s="45" t="s">
        <v>116</v>
      </c>
      <c r="E58" s="23"/>
      <c r="F58" s="24"/>
      <c r="G58" s="39"/>
    </row>
    <row r="59" ht="57">
      <c r="B59" s="62" t="s">
        <v>70</v>
      </c>
      <c r="C59" s="29" t="s">
        <v>117</v>
      </c>
      <c r="D59" s="62" t="s">
        <v>118</v>
      </c>
      <c r="E59" s="28"/>
      <c r="F59" s="29"/>
      <c r="G59" s="43"/>
    </row>
    <row r="60" ht="57">
      <c r="B60" s="58" t="s">
        <v>13</v>
      </c>
      <c r="C60" s="58" t="s">
        <v>14</v>
      </c>
      <c r="D60" s="58" t="s">
        <v>119</v>
      </c>
      <c r="E60" s="2" t="s">
        <v>16</v>
      </c>
      <c r="F60" s="2" t="s">
        <v>17</v>
      </c>
      <c r="G60" s="2" t="s">
        <v>18</v>
      </c>
    </row>
    <row r="61" ht="57">
      <c r="B61" s="63" t="s">
        <v>120</v>
      </c>
      <c r="C61" s="34" t="s">
        <v>121</v>
      </c>
      <c r="D61" s="63" t="s">
        <v>122</v>
      </c>
      <c r="E61" s="33"/>
      <c r="F61" s="34"/>
      <c r="G61" s="50"/>
    </row>
    <row r="62" s="64" customFormat="1" ht="57">
      <c r="B62" s="63" t="s">
        <v>120</v>
      </c>
      <c r="C62" s="38" t="s">
        <v>123</v>
      </c>
      <c r="D62" s="65" t="s">
        <v>124</v>
      </c>
      <c r="E62" s="23"/>
      <c r="F62" s="38"/>
      <c r="G62" s="39"/>
    </row>
    <row r="63" s="64" customFormat="1" ht="57">
      <c r="B63" s="63" t="s">
        <v>120</v>
      </c>
      <c r="C63" s="38" t="s">
        <v>125</v>
      </c>
      <c r="D63" s="65" t="s">
        <v>126</v>
      </c>
      <c r="E63" s="23"/>
      <c r="F63" s="38"/>
      <c r="G63" s="39"/>
    </row>
    <row r="64" s="64" customFormat="1" ht="57">
      <c r="B64" s="63" t="s">
        <v>120</v>
      </c>
      <c r="C64" s="38" t="s">
        <v>127</v>
      </c>
      <c r="D64" s="65" t="s">
        <v>128</v>
      </c>
      <c r="E64" s="23"/>
      <c r="F64" s="38"/>
      <c r="G64" s="39"/>
    </row>
    <row r="65" ht="14.25">
      <c r="B65" s="63" t="s">
        <v>120</v>
      </c>
      <c r="C65" s="38" t="s">
        <v>129</v>
      </c>
      <c r="D65" s="65" t="s">
        <v>130</v>
      </c>
      <c r="E65" s="23"/>
      <c r="F65" s="38"/>
      <c r="G65" s="39"/>
    </row>
    <row r="66" ht="14.25">
      <c r="B66" s="63" t="s">
        <v>120</v>
      </c>
      <c r="C66" s="38" t="s">
        <v>131</v>
      </c>
      <c r="D66" s="65" t="s">
        <v>132</v>
      </c>
      <c r="E66" s="23"/>
      <c r="F66" s="38"/>
      <c r="G66" s="39"/>
    </row>
    <row r="67" ht="14.25">
      <c r="B67" s="66" t="s">
        <v>120</v>
      </c>
      <c r="C67" s="42" t="s">
        <v>133</v>
      </c>
      <c r="D67" s="67" t="s">
        <v>134</v>
      </c>
      <c r="E67" s="28"/>
      <c r="F67" s="42"/>
      <c r="G67" s="39"/>
    </row>
    <row r="68" ht="14.25">
      <c r="B68" s="68" t="s">
        <v>135</v>
      </c>
      <c r="C68" s="20" t="s">
        <v>136</v>
      </c>
      <c r="D68" s="68" t="s">
        <v>137</v>
      </c>
      <c r="E68" s="69"/>
      <c r="F68" s="20"/>
      <c r="G68" s="20"/>
    </row>
    <row r="69" ht="14.25">
      <c r="B69" s="26" t="s">
        <v>135</v>
      </c>
      <c r="C69" s="30" t="s">
        <v>138</v>
      </c>
      <c r="D69" s="26" t="s">
        <v>139</v>
      </c>
      <c r="E69" s="70"/>
      <c r="F69" s="30"/>
      <c r="G69" s="30"/>
    </row>
    <row r="70" ht="14.25">
      <c r="D70" s="71" t="s">
        <v>12</v>
      </c>
      <c r="E70" s="72">
        <f>SUM(E13:E35,E36:E59,E61:E69)</f>
        <v>108</v>
      </c>
    </row>
    <row r="71" ht="14.25">
      <c r="E71" s="1"/>
    </row>
    <row r="72" ht="14.25">
      <c r="E72" s="1"/>
    </row>
    <row r="73" ht="14.25">
      <c r="E73" s="1"/>
    </row>
    <row r="74" ht="14.25">
      <c r="E74" s="1"/>
    </row>
  </sheetData>
  <sheetProtection autoFilter="1" deleteColumns="1" deleteRows="1" formatCells="1" formatColumns="1" formatRows="1" insertColumns="1" insertHyperlinks="1" insertRows="1" pivotTables="1" selectLockedCells="0" selectUnlockedCells="0" sheet="0" sort="1"/>
  <dataValidations count="1" disablePrompts="0">
    <dataValidation sqref="B4:B8" type="none" allowBlank="1" errorStyle="stop" imeMode="noControl" operator="between" promptTitle="" showDropDown="0" showErrorMessage="1" showInputMessage="1"/>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cellIs" priority="24" operator="equal" id="{370C7978-F9B6-4714-9D99-48C09D8CA2E2}">
            <xm:f>3</xm:f>
            <x14:dxf>
              <font>
                <color rgb="FF006100"/>
              </font>
            </x14:dxf>
          </x14:cfRule>
          <xm:sqref>E13:E34 E36:E59 E61:E69</xm:sqref>
        </x14:conditionalFormatting>
        <x14:conditionalFormatting xmlns:xm="http://schemas.microsoft.com/office/excel/2006/main">
          <x14:cfRule type="cellIs" priority="23" operator="lessThanOrEqual" id="{36324845-3C89-4439-9C3E-4AD1A02A73C7}">
            <xm:f>3</xm:f>
            <x14:dxf>
              <font>
                <color rgb="FF006100"/>
              </font>
              <fill>
                <patternFill patternType="solid">
                  <fgColor rgb="FFC6EFCE"/>
                  <bgColor rgb="FFC6EFCE"/>
                </patternFill>
              </fill>
            </x14:dxf>
          </x14:cfRule>
          <xm:sqref>E13:E34 E36:E59 E61:E69</xm:sqref>
        </x14:conditionalFormatting>
        <x14:conditionalFormatting xmlns:xm="http://schemas.microsoft.com/office/excel/2006/main">
          <x14:cfRule type="cellIs" priority="22" operator="notBetween" id="{2BC38861-C069-4A25-9002-4477D3DB5BB4}">
            <xm:f>3</xm:f>
            <xm:f>8</xm:f>
            <x14:dxf>
              <font>
                <color rgb="FF9C5700"/>
              </font>
              <fill>
                <patternFill patternType="solid">
                  <fgColor rgb="FFFFEB9C"/>
                  <bgColor rgb="FFFFEB9C"/>
                </patternFill>
              </fill>
            </x14:dxf>
          </x14:cfRule>
          <xm:sqref>E13:E34 E36:E59 E61:E69</xm:sqref>
        </x14:conditionalFormatting>
        <x14:conditionalFormatting xmlns:xm="http://schemas.microsoft.com/office/excel/2006/main">
          <x14:cfRule type="cellIs" priority="21" operator="between" id="{6440F931-C165-48AB-8AA4-B9CD520A433E}">
            <xm:f>4</xm:f>
            <xm:f>7</xm:f>
            <x14:dxf>
              <font>
                <color rgb="FF9C5700"/>
              </font>
              <fill>
                <patternFill patternType="solid">
                  <fgColor rgb="FFFFEB9C"/>
                  <bgColor rgb="FFFFEB9C"/>
                </patternFill>
              </fill>
            </x14:dxf>
          </x14:cfRule>
          <xm:sqref>E13:E34 E36:E59 E61:E69</xm:sqref>
        </x14:conditionalFormatting>
        <x14:conditionalFormatting xmlns:xm="http://schemas.microsoft.com/office/excel/2006/main">
          <x14:cfRule type="cellIs" priority="20" operator="greaterThanOrEqual" id="{4970097A-6ADC-4676-BA5C-CEAD1C11D703}">
            <xm:f>8</xm:f>
            <x14:dxf>
              <font>
                <color rgb="FF9C0006"/>
              </font>
              <fill>
                <patternFill patternType="solid">
                  <fgColor rgb="FFFFC7CE"/>
                  <bgColor rgb="FFFFC7CE"/>
                </patternFill>
              </fill>
            </x14:dxf>
          </x14:cfRule>
          <xm:sqref>E13:E34 E36:E59 E61:E69</xm:sqref>
        </x14:conditionalFormatting>
        <x14:conditionalFormatting xmlns:xm="http://schemas.microsoft.com/office/excel/2006/main">
          <x14:cfRule type="aboveAverage" priority="19" stdDev="0" id="{F56CEAE9-54E1-4AC5-917B-DB879FE83529}">
            <x14:dxf>
              <font>
                <color rgb="FF9C0006"/>
              </font>
              <fill>
                <patternFill patternType="solid">
                  <fgColor rgb="FFFFC7CE"/>
                  <bgColor rgb="FFFFC7CE"/>
                </patternFill>
              </fill>
            </x14:dxf>
          </x14:cfRule>
          <xm:sqref>C4:C8</xm:sqref>
        </x14:conditionalFormatting>
        <x14:conditionalFormatting xmlns:xm="http://schemas.microsoft.com/office/excel/2006/main">
          <x14:cfRule type="aboveAverage" priority="18" aboveAverage="0" stdDev="0" id="{D92F8707-FF4A-4A45-A510-CCC5AF0AD93B}">
            <x14:dxf>
              <font>
                <color rgb="FF006100"/>
              </font>
              <fill>
                <patternFill patternType="solid">
                  <fgColor rgb="FFC6EFCE"/>
                  <bgColor rgb="FFC6EFCE"/>
                </patternFill>
              </fill>
            </x14:dxf>
          </x14:cfRule>
          <xm:sqref>C4:C8</xm:sqref>
        </x14:conditionalFormatting>
        <x14:conditionalFormatting xmlns:xm="http://schemas.microsoft.com/office/excel/2006/main">
          <x14:cfRule type="cellIs" priority="17" operator="lessThan" id="{848D5610-41A5-4E9C-A973-474CBA58AEFD}">
            <xm:f>5</xm:f>
            <x14:dxf>
              <font>
                <color rgb="FF006100"/>
              </font>
              <fill>
                <patternFill patternType="solid">
                  <fgColor rgb="FFC6EFCE"/>
                  <bgColor rgb="FFC6EFCE"/>
                </patternFill>
              </fill>
            </x14:dxf>
          </x14:cfRule>
          <xm:sqref>E34 E36:E59 E61:E69</xm:sqref>
        </x14:conditionalFormatting>
        <x14:conditionalFormatting xmlns:xm="http://schemas.microsoft.com/office/excel/2006/main">
          <x14:cfRule type="containsText" priority="16" text="Completado" id="{2AE373B2-70CB-4185-941C-C3174C7BEB3E}">
            <xm:f>NOT(ISERROR(SEARCH("Completado",G13)))</xm:f>
            <x14:dxf>
              <font>
                <color rgb="FF006100"/>
              </font>
              <fill>
                <patternFill patternType="solid">
                  <fgColor rgb="FFC6EFCE"/>
                  <bgColor rgb="FFC6EFCE"/>
                </patternFill>
              </fill>
            </x14:dxf>
          </x14:cfRule>
          <xm:sqref>G13</xm:sqref>
        </x14:conditionalFormatting>
        <x14:conditionalFormatting xmlns:xm="http://schemas.microsoft.com/office/excel/2006/main">
          <x14:cfRule type="containsText" priority="15" text="En Proceso" id="{BF564519-45E1-4CFA-A527-2D96E62688B6}">
            <xm:f>NOT(ISERROR(SEARCH("En Proceso",G13)))</xm:f>
            <x14:dxf>
              <font>
                <color rgb="FF9C5700"/>
              </font>
              <fill>
                <patternFill patternType="solid">
                  <fgColor rgb="FFFFEB9C"/>
                  <bgColor rgb="FFFFEB9C"/>
                </patternFill>
              </fill>
            </x14:dxf>
          </x14:cfRule>
          <xm:sqref>G13</xm:sqref>
        </x14:conditionalFormatting>
        <x14:conditionalFormatting xmlns:xm="http://schemas.microsoft.com/office/excel/2006/main">
          <x14:cfRule type="containsText" priority="14" text="No Entregado" id="{E0501E34-00AF-4A33-8A2C-5DEDA3F8C0F1}">
            <xm:f>NOT(ISERROR(SEARCH("No Entregado",G13)))</xm:f>
            <x14:dxf>
              <font>
                <color rgb="FF9C0006"/>
              </font>
              <fill>
                <patternFill patternType="solid">
                  <fgColor rgb="FFFFC7CE"/>
                  <bgColor rgb="FFFFC7CE"/>
                </patternFill>
              </fill>
            </x14:dxf>
          </x14:cfRule>
          <xm:sqref>G13</xm:sqref>
        </x14:conditionalFormatting>
        <x14:conditionalFormatting xmlns:xm="http://schemas.microsoft.com/office/excel/2006/main">
          <x14:cfRule type="containsText" priority="25" text="Completado" id="{1EF929BE-3F89-4E62-AA27-CA66743438E4}">
            <xm:f>NOT(ISERROR(SEARCH("Completado",G13)))</xm:f>
            <x14:dxf>
              <font>
                <color rgb="FF006100"/>
              </font>
              <fill>
                <patternFill patternType="solid">
                  <fgColor rgb="FFC6EFCE"/>
                  <bgColor rgb="FFC6EFCE"/>
                </patternFill>
              </fill>
            </x14:dxf>
          </x14:cfRule>
          <xm:sqref>G14</xm:sqref>
        </x14:conditionalFormatting>
        <x14:conditionalFormatting xmlns:xm="http://schemas.microsoft.com/office/excel/2006/main">
          <x14:cfRule type="containsText" priority="26" text="En Proceso" id="{39364251-73D1-499A-89CA-87AF608FAB95}">
            <xm:f>NOT(ISERROR(SEARCH("En Proceso",G13)))</xm:f>
            <x14:dxf>
              <font>
                <color rgb="FF9C5700"/>
              </font>
              <fill>
                <patternFill patternType="solid">
                  <fgColor rgb="FFFFEB9C"/>
                  <bgColor rgb="FFFFEB9C"/>
                </patternFill>
              </fill>
            </x14:dxf>
          </x14:cfRule>
          <xm:sqref>G14</xm:sqref>
        </x14:conditionalFormatting>
        <x14:conditionalFormatting xmlns:xm="http://schemas.microsoft.com/office/excel/2006/main">
          <x14:cfRule type="containsText" priority="27" text="No Entregado" id="{5710A9B5-9192-4780-B650-390094731A75}">
            <xm:f>NOT(ISERROR(SEARCH("No Entregado",G13)))</xm:f>
            <x14:dxf>
              <font>
                <color rgb="FF9C0006"/>
              </font>
              <fill>
                <patternFill patternType="solid">
                  <fgColor rgb="FFFFC7CE"/>
                  <bgColor rgb="FFFFC7CE"/>
                </patternFill>
              </fill>
            </x14:dxf>
          </x14:cfRule>
          <xm:sqref>G14</xm:sqref>
        </x14:conditionalFormatting>
        <x14:conditionalFormatting xmlns:xm="http://schemas.microsoft.com/office/excel/2006/main">
          <x14:cfRule type="containsText" priority="28" text="Completado" id="{CCFF4C89-FD13-4BFA-9CF2-EAA734859DAA}">
            <xm:f>NOT(ISERROR(SEARCH("Completado",G13)))</xm:f>
            <x14:dxf>
              <font>
                <color rgb="FF006100"/>
              </font>
              <fill>
                <patternFill patternType="solid">
                  <fgColor rgb="FFC6EFCE"/>
                  <bgColor rgb="FFC6EFCE"/>
                </patternFill>
              </fill>
            </x14:dxf>
          </x14:cfRule>
          <xm:sqref>G15</xm:sqref>
        </x14:conditionalFormatting>
        <x14:conditionalFormatting xmlns:xm="http://schemas.microsoft.com/office/excel/2006/main">
          <x14:cfRule type="containsText" priority="29" text="En Proceso" id="{07C412AC-4749-461C-93AA-AF7D270F7F2A}">
            <xm:f>NOT(ISERROR(SEARCH("En Proceso",G13)))</xm:f>
            <x14:dxf>
              <font>
                <color rgb="FF9C5700"/>
              </font>
              <fill>
                <patternFill patternType="solid">
                  <fgColor rgb="FFFFEB9C"/>
                  <bgColor rgb="FFFFEB9C"/>
                </patternFill>
              </fill>
            </x14:dxf>
          </x14:cfRule>
          <xm:sqref>G15</xm:sqref>
        </x14:conditionalFormatting>
        <x14:conditionalFormatting xmlns:xm="http://schemas.microsoft.com/office/excel/2006/main">
          <x14:cfRule type="containsText" priority="30" text="No Entregado" id="{5505E7E6-C8AC-43BE-9E85-1333D0D6144D}">
            <xm:f>NOT(ISERROR(SEARCH("No Entregado",G13)))</xm:f>
            <x14:dxf>
              <font>
                <color rgb="FF9C0006"/>
              </font>
              <fill>
                <patternFill patternType="solid">
                  <fgColor rgb="FFFFC7CE"/>
                  <bgColor rgb="FFFFC7CE"/>
                </patternFill>
              </fill>
            </x14:dxf>
          </x14:cfRule>
          <xm:sqref>G15</xm:sqref>
        </x14:conditionalFormatting>
        <x14:conditionalFormatting xmlns:xm="http://schemas.microsoft.com/office/excel/2006/main">
          <x14:cfRule type="containsText" priority="31" text="Completado" id="{C93CA3B5-BF24-4C74-9131-A3AEFC81D279}">
            <xm:f>NOT(ISERROR(SEARCH("Completado",G13)))</xm:f>
            <x14:dxf>
              <font>
                <color rgb="FF006100"/>
              </font>
              <fill>
                <patternFill patternType="solid">
                  <fgColor rgb="FFC6EFCE"/>
                  <bgColor rgb="FFC6EFCE"/>
                </patternFill>
              </fill>
            </x14:dxf>
          </x14:cfRule>
          <xm:sqref>G16</xm:sqref>
        </x14:conditionalFormatting>
        <x14:conditionalFormatting xmlns:xm="http://schemas.microsoft.com/office/excel/2006/main">
          <x14:cfRule type="containsText" priority="32" text="En Proceso" id="{2BCC7CF9-1508-49DC-AA67-A4A2A1C70A1F}">
            <xm:f>NOT(ISERROR(SEARCH("En Proceso",G13)))</xm:f>
            <x14:dxf>
              <font>
                <color rgb="FF9C5700"/>
              </font>
              <fill>
                <patternFill patternType="solid">
                  <fgColor rgb="FFFFEB9C"/>
                  <bgColor rgb="FFFFEB9C"/>
                </patternFill>
              </fill>
            </x14:dxf>
          </x14:cfRule>
          <xm:sqref>G16</xm:sqref>
        </x14:conditionalFormatting>
        <x14:conditionalFormatting xmlns:xm="http://schemas.microsoft.com/office/excel/2006/main">
          <x14:cfRule type="containsText" priority="33" text="No Entregado" id="{83FAB4F1-7F3F-4A5F-816A-426434320A37}">
            <xm:f>NOT(ISERROR(SEARCH("No Entregado",G13)))</xm:f>
            <x14:dxf>
              <font>
                <color rgb="FF9C0006"/>
              </font>
              <fill>
                <patternFill patternType="solid">
                  <fgColor rgb="FFFFC7CE"/>
                  <bgColor rgb="FFFFC7CE"/>
                </patternFill>
              </fill>
            </x14:dxf>
          </x14:cfRule>
          <xm:sqref>G16</xm:sqref>
        </x14:conditionalFormatting>
        <x14:conditionalFormatting xmlns:xm="http://schemas.microsoft.com/office/excel/2006/main">
          <x14:cfRule type="containsText" priority="34" text="Completado" id="{706C2A4A-6CAC-440B-BAB7-9A196880CAF6}">
            <xm:f>NOT(ISERROR(SEARCH("Completado",G13)))</xm:f>
            <x14:dxf>
              <font>
                <color rgb="FF006100"/>
              </font>
              <fill>
                <patternFill patternType="solid">
                  <fgColor rgb="FFC6EFCE"/>
                  <bgColor rgb="FFC6EFCE"/>
                </patternFill>
              </fill>
            </x14:dxf>
          </x14:cfRule>
          <xm:sqref>G17</xm:sqref>
        </x14:conditionalFormatting>
        <x14:conditionalFormatting xmlns:xm="http://schemas.microsoft.com/office/excel/2006/main">
          <x14:cfRule type="containsText" priority="35" text="En Proceso" id="{C0CDD7B4-D6D8-4347-ABAD-E5962C5D60EF}">
            <xm:f>NOT(ISERROR(SEARCH("En Proceso",G13)))</xm:f>
            <x14:dxf>
              <font>
                <color rgb="FF9C5700"/>
              </font>
              <fill>
                <patternFill patternType="solid">
                  <fgColor rgb="FFFFEB9C"/>
                  <bgColor rgb="FFFFEB9C"/>
                </patternFill>
              </fill>
            </x14:dxf>
          </x14:cfRule>
          <xm:sqref>G17</xm:sqref>
        </x14:conditionalFormatting>
        <x14:conditionalFormatting xmlns:xm="http://schemas.microsoft.com/office/excel/2006/main">
          <x14:cfRule type="containsText" priority="36" text="No Entregado" id="{D0DABEA1-108C-4132-82A4-9416AE376DF2}">
            <xm:f>NOT(ISERROR(SEARCH("No Entregado",G13)))</xm:f>
            <x14:dxf>
              <font>
                <color rgb="FF9C0006"/>
              </font>
              <fill>
                <patternFill patternType="solid">
                  <fgColor rgb="FFFFC7CE"/>
                  <bgColor rgb="FFFFC7CE"/>
                </patternFill>
              </fill>
            </x14:dxf>
          </x14:cfRule>
          <xm:sqref>G17</xm:sqref>
        </x14:conditionalFormatting>
        <x14:conditionalFormatting xmlns:xm="http://schemas.microsoft.com/office/excel/2006/main">
          <x14:cfRule type="containsText" priority="13" text="En Proceso" id="{53B66A31-1514-40A1-87A3-DBCBB6C2C3D9}">
            <xm:f>NOT(ISERROR(SEARCH("En Proceso",G18)))</xm:f>
            <x14:dxf>
              <font>
                <color rgb="FF9C5700"/>
              </font>
              <fill>
                <patternFill patternType="solid">
                  <fgColor rgb="FFFFEB9C"/>
                  <bgColor rgb="FFFFEB9C"/>
                </patternFill>
              </fill>
            </x14:dxf>
          </x14:cfRule>
          <xm:sqref>G18:G23</xm:sqref>
        </x14:conditionalFormatting>
        <x14:conditionalFormatting xmlns:xm="http://schemas.microsoft.com/office/excel/2006/main">
          <x14:cfRule type="containsText" priority="12" text="Completado" id="{027EEBF6-F74C-42B9-B7EB-BE5547728F3B}">
            <xm:f>NOT(ISERROR(SEARCH("Completado",G18)))</xm:f>
            <x14:dxf>
              <font>
                <color rgb="FF006100"/>
              </font>
              <fill>
                <patternFill patternType="solid">
                  <fgColor rgb="FFC6EFCE"/>
                  <bgColor rgb="FFC6EFCE"/>
                </patternFill>
              </fill>
            </x14:dxf>
          </x14:cfRule>
          <xm:sqref>G18:G23</xm:sqref>
        </x14:conditionalFormatting>
        <x14:conditionalFormatting xmlns:xm="http://schemas.microsoft.com/office/excel/2006/main">
          <x14:cfRule type="containsText" priority="11" text="No Entregado" id="{EB8C58FA-CD83-4CE2-81E2-721E924992EA}">
            <xm:f>NOT(ISERROR(SEARCH("No Entregado",G18)))</xm:f>
            <x14:dxf>
              <font>
                <color rgb="FF9C0006"/>
              </font>
              <fill>
                <patternFill patternType="solid">
                  <fgColor rgb="FFFFC7CE"/>
                  <bgColor rgb="FFFFC7CE"/>
                </patternFill>
              </fill>
            </x14:dxf>
          </x14:cfRule>
          <xm:sqref>G18:G23</xm:sqref>
        </x14:conditionalFormatting>
        <x14:conditionalFormatting xmlns:xm="http://schemas.microsoft.com/office/excel/2006/main">
          <x14:cfRule type="containsText" priority="37" text="Completado" id="{8DAAC16F-E043-4A6E-BDC8-25C5A05C0A1F}">
            <xm:f>NOT(ISERROR(SEARCH("Completado",G13)))</xm:f>
            <x14:dxf>
              <font>
                <color rgb="FF006100"/>
              </font>
              <fill>
                <patternFill patternType="solid">
                  <fgColor rgb="FFC6EFCE"/>
                  <bgColor rgb="FFC6EFCE"/>
                </patternFill>
              </fill>
            </x14:dxf>
          </x14:cfRule>
          <xm:sqref>G24</xm:sqref>
        </x14:conditionalFormatting>
        <x14:conditionalFormatting xmlns:xm="http://schemas.microsoft.com/office/excel/2006/main">
          <x14:cfRule type="containsText" priority="38" text="En Proceso" id="{1E1D9829-37A8-45B1-853D-B9C3B8AECA88}">
            <xm:f>NOT(ISERROR(SEARCH("En Proceso",G13)))</xm:f>
            <x14:dxf>
              <font>
                <color rgb="FF9C5700"/>
              </font>
              <fill>
                <patternFill patternType="solid">
                  <fgColor rgb="FFFFEB9C"/>
                  <bgColor rgb="FFFFEB9C"/>
                </patternFill>
              </fill>
            </x14:dxf>
          </x14:cfRule>
          <xm:sqref>G24</xm:sqref>
        </x14:conditionalFormatting>
        <x14:conditionalFormatting xmlns:xm="http://schemas.microsoft.com/office/excel/2006/main">
          <x14:cfRule type="containsText" priority="39" text="No Entregado" id="{64C062E1-773D-49A6-B363-5A2F4995767E}">
            <xm:f>NOT(ISERROR(SEARCH("No Entregado",G13)))</xm:f>
            <x14:dxf>
              <font>
                <color rgb="FF9C0006"/>
              </font>
              <fill>
                <patternFill patternType="solid">
                  <fgColor rgb="FFFFC7CE"/>
                  <bgColor rgb="FFFFC7CE"/>
                </patternFill>
              </fill>
            </x14:dxf>
          </x14:cfRule>
          <xm:sqref>G24</xm:sqref>
        </x14:conditionalFormatting>
        <x14:conditionalFormatting xmlns:xm="http://schemas.microsoft.com/office/excel/2006/main">
          <x14:cfRule type="containsText" priority="40" text="Completado" id="{4C80A5E4-7776-4C40-A8DB-16DC2F388E72}">
            <xm:f>NOT(ISERROR(SEARCH("Completado",G13)))</xm:f>
            <x14:dxf>
              <font>
                <color rgb="FF006100"/>
              </font>
              <fill>
                <patternFill patternType="solid">
                  <fgColor rgb="FFC6EFCE"/>
                  <bgColor rgb="FFC6EFCE"/>
                </patternFill>
              </fill>
            </x14:dxf>
          </x14:cfRule>
          <xm:sqref>G25</xm:sqref>
        </x14:conditionalFormatting>
        <x14:conditionalFormatting xmlns:xm="http://schemas.microsoft.com/office/excel/2006/main">
          <x14:cfRule type="containsText" priority="41" text="En Proceso" id="{CC020AEA-B3C4-415F-9636-B9795A57B93F}">
            <xm:f>NOT(ISERROR(SEARCH("En Proceso",G13)))</xm:f>
            <x14:dxf>
              <font>
                <color rgb="FF9C5700"/>
              </font>
              <fill>
                <patternFill patternType="solid">
                  <fgColor rgb="FFFFEB9C"/>
                  <bgColor rgb="FFFFEB9C"/>
                </patternFill>
              </fill>
            </x14:dxf>
          </x14:cfRule>
          <xm:sqref>G25</xm:sqref>
        </x14:conditionalFormatting>
        <x14:conditionalFormatting xmlns:xm="http://schemas.microsoft.com/office/excel/2006/main">
          <x14:cfRule type="containsText" priority="42" text="No Entregado" id="{DAA317D2-312B-4FD8-86A7-B9EBD898ACDB}">
            <xm:f>NOT(ISERROR(SEARCH("No Entregado",G13)))</xm:f>
            <x14:dxf>
              <font>
                <color rgb="FF9C0006"/>
              </font>
              <fill>
                <patternFill patternType="solid">
                  <fgColor rgb="FFFFC7CE"/>
                  <bgColor rgb="FFFFC7CE"/>
                </patternFill>
              </fill>
            </x14:dxf>
          </x14:cfRule>
          <xm:sqref>G25</xm:sqref>
        </x14:conditionalFormatting>
        <x14:conditionalFormatting xmlns:xm="http://schemas.microsoft.com/office/excel/2006/main">
          <x14:cfRule type="containsText" priority="43" text="Completado" id="{93268C52-A42B-40D0-A0F1-02536F971241}">
            <xm:f>NOT(ISERROR(SEARCH("Completado",G13)))</xm:f>
            <x14:dxf>
              <font>
                <color rgb="FF006100"/>
              </font>
              <fill>
                <patternFill patternType="solid">
                  <fgColor rgb="FFC6EFCE"/>
                  <bgColor rgb="FFC6EFCE"/>
                </patternFill>
              </fill>
            </x14:dxf>
          </x14:cfRule>
          <xm:sqref>G26</xm:sqref>
        </x14:conditionalFormatting>
        <x14:conditionalFormatting xmlns:xm="http://schemas.microsoft.com/office/excel/2006/main">
          <x14:cfRule type="containsText" priority="44" text="En Proceso" id="{C78A8C18-895F-4760-A9BC-9CF151F0EA2E}">
            <xm:f>NOT(ISERROR(SEARCH("En Proceso",G13)))</xm:f>
            <x14:dxf>
              <font>
                <color rgb="FF9C5700"/>
              </font>
              <fill>
                <patternFill patternType="solid">
                  <fgColor rgb="FFFFEB9C"/>
                  <bgColor rgb="FFFFEB9C"/>
                </patternFill>
              </fill>
            </x14:dxf>
          </x14:cfRule>
          <xm:sqref>G26</xm:sqref>
        </x14:conditionalFormatting>
        <x14:conditionalFormatting xmlns:xm="http://schemas.microsoft.com/office/excel/2006/main">
          <x14:cfRule type="containsText" priority="45" text="No Entregado" id="{0CA721C5-965B-4348-BFEB-F31023E41D49}">
            <xm:f>NOT(ISERROR(SEARCH("No Entregado",G13)))</xm:f>
            <x14:dxf>
              <font>
                <color rgb="FF9C0006"/>
              </font>
              <fill>
                <patternFill patternType="solid">
                  <fgColor rgb="FFFFC7CE"/>
                  <bgColor rgb="FFFFC7CE"/>
                </patternFill>
              </fill>
            </x14:dxf>
          </x14:cfRule>
          <xm:sqref>G26</xm:sqref>
        </x14:conditionalFormatting>
        <x14:conditionalFormatting xmlns:xm="http://schemas.microsoft.com/office/excel/2006/main">
          <x14:cfRule type="containsText" priority="46" text="Completado" id="{0691BDED-5BCC-4C59-9039-374A30DDA062}">
            <xm:f>NOT(ISERROR(SEARCH("Completado",G13)))</xm:f>
            <x14:dxf>
              <font>
                <color rgb="FF006100"/>
              </font>
              <fill>
                <patternFill patternType="solid">
                  <fgColor rgb="FFC6EFCE"/>
                  <bgColor rgb="FFC6EFCE"/>
                </patternFill>
              </fill>
            </x14:dxf>
          </x14:cfRule>
          <xm:sqref>G27</xm:sqref>
        </x14:conditionalFormatting>
        <x14:conditionalFormatting xmlns:xm="http://schemas.microsoft.com/office/excel/2006/main">
          <x14:cfRule type="containsText" priority="47" text="En Proceso" id="{8BAB915B-5E07-4082-BD19-8B6CDA36A236}">
            <xm:f>NOT(ISERROR(SEARCH("En Proceso",G13)))</xm:f>
            <x14:dxf>
              <font>
                <color rgb="FF9C5700"/>
              </font>
              <fill>
                <patternFill patternType="solid">
                  <fgColor rgb="FFFFEB9C"/>
                  <bgColor rgb="FFFFEB9C"/>
                </patternFill>
              </fill>
            </x14:dxf>
          </x14:cfRule>
          <xm:sqref>G27</xm:sqref>
        </x14:conditionalFormatting>
        <x14:conditionalFormatting xmlns:xm="http://schemas.microsoft.com/office/excel/2006/main">
          <x14:cfRule type="containsText" priority="48" text="No Entregado" id="{85CE0FBD-1628-4107-9210-9B8C55330E90}">
            <xm:f>NOT(ISERROR(SEARCH("No Entregado",G13)))</xm:f>
            <x14:dxf>
              <font>
                <color rgb="FF9C0006"/>
              </font>
              <fill>
                <patternFill patternType="solid">
                  <fgColor rgb="FFFFC7CE"/>
                  <bgColor rgb="FFFFC7CE"/>
                </patternFill>
              </fill>
            </x14:dxf>
          </x14:cfRule>
          <xm:sqref>G27</xm:sqref>
        </x14:conditionalFormatting>
        <x14:conditionalFormatting xmlns:xm="http://schemas.microsoft.com/office/excel/2006/main">
          <x14:cfRule type="containsText" priority="49" text="Completado" id="{146F487F-E27C-4107-92AA-2E4D80035CEF}">
            <xm:f>NOT(ISERROR(SEARCH("Completado",G13)))</xm:f>
            <x14:dxf>
              <font>
                <color rgb="FF006100"/>
              </font>
              <fill>
                <patternFill patternType="solid">
                  <fgColor rgb="FFC6EFCE"/>
                  <bgColor rgb="FFC6EFCE"/>
                </patternFill>
              </fill>
            </x14:dxf>
          </x14:cfRule>
          <xm:sqref>G28</xm:sqref>
        </x14:conditionalFormatting>
        <x14:conditionalFormatting xmlns:xm="http://schemas.microsoft.com/office/excel/2006/main">
          <x14:cfRule type="containsText" priority="50" text="En Proceso" id="{1DB1C44D-A02D-49C5-830C-5677CFCE31D3}">
            <xm:f>NOT(ISERROR(SEARCH("En Proceso",G13)))</xm:f>
            <x14:dxf>
              <font>
                <color rgb="FF9C5700"/>
              </font>
              <fill>
                <patternFill patternType="solid">
                  <fgColor rgb="FFFFEB9C"/>
                  <bgColor rgb="FFFFEB9C"/>
                </patternFill>
              </fill>
            </x14:dxf>
          </x14:cfRule>
          <xm:sqref>G28</xm:sqref>
        </x14:conditionalFormatting>
        <x14:conditionalFormatting xmlns:xm="http://schemas.microsoft.com/office/excel/2006/main">
          <x14:cfRule type="containsText" priority="51" text="No Entregado" id="{DE150632-D222-4168-B324-E14D89F0132D}">
            <xm:f>NOT(ISERROR(SEARCH("No Entregado",G13)))</xm:f>
            <x14:dxf>
              <font>
                <color rgb="FF9C0006"/>
              </font>
              <fill>
                <patternFill patternType="solid">
                  <fgColor rgb="FFFFC7CE"/>
                  <bgColor rgb="FFFFC7CE"/>
                </patternFill>
              </fill>
            </x14:dxf>
          </x14:cfRule>
          <xm:sqref>G28</xm:sqref>
        </x14:conditionalFormatting>
        <x14:conditionalFormatting xmlns:xm="http://schemas.microsoft.com/office/excel/2006/main">
          <x14:cfRule type="containsText" priority="52" text="En Proceso" id="{E05A674E-A0F4-42DC-9E4F-40123F1CED68}">
            <xm:f>NOT(ISERROR(SEARCH("En Proceso",G18)))</xm:f>
            <x14:dxf>
              <font>
                <color rgb="FF9C5700"/>
              </font>
              <fill>
                <patternFill patternType="solid">
                  <fgColor rgb="FFFFEB9C"/>
                  <bgColor rgb="FFFFEB9C"/>
                </patternFill>
              </fill>
            </x14:dxf>
          </x14:cfRule>
          <xm:sqref>G29:G30</xm:sqref>
        </x14:conditionalFormatting>
        <x14:conditionalFormatting xmlns:xm="http://schemas.microsoft.com/office/excel/2006/main">
          <x14:cfRule type="containsText" priority="53" text="Completado" id="{A8DFAD1B-5965-4140-83C0-041F6C23A272}">
            <xm:f>NOT(ISERROR(SEARCH("Completado",G18)))</xm:f>
            <x14:dxf>
              <font>
                <color rgb="FF006100"/>
              </font>
              <fill>
                <patternFill patternType="solid">
                  <fgColor rgb="FFC6EFCE"/>
                  <bgColor rgb="FFC6EFCE"/>
                </patternFill>
              </fill>
            </x14:dxf>
          </x14:cfRule>
          <xm:sqref>G29:G30</xm:sqref>
        </x14:conditionalFormatting>
        <x14:conditionalFormatting xmlns:xm="http://schemas.microsoft.com/office/excel/2006/main">
          <x14:cfRule type="containsText" priority="54" text="No Entregado" id="{CD09D3DE-F879-452B-932B-EA480E168590}">
            <xm:f>NOT(ISERROR(SEARCH("No Entregado",G18)))</xm:f>
            <x14:dxf>
              <font>
                <color rgb="FF9C0006"/>
              </font>
              <fill>
                <patternFill patternType="solid">
                  <fgColor rgb="FFFFC7CE"/>
                  <bgColor rgb="FFFFC7CE"/>
                </patternFill>
              </fill>
            </x14:dxf>
          </x14:cfRule>
          <xm:sqref>G29:G30</xm:sqref>
        </x14:conditionalFormatting>
        <x14:conditionalFormatting xmlns:xm="http://schemas.microsoft.com/office/excel/2006/main">
          <x14:cfRule type="containsText" priority="55" text="Completado" id="{2817C1E5-4AAF-427F-AEF2-4739404F57C8}">
            <xm:f>NOT(ISERROR(SEARCH("Completado",G13)))</xm:f>
            <x14:dxf>
              <font>
                <color rgb="FF006100"/>
              </font>
              <fill>
                <patternFill patternType="solid">
                  <fgColor rgb="FFC6EFCE"/>
                  <bgColor rgb="FFC6EFCE"/>
                </patternFill>
              </fill>
            </x14:dxf>
          </x14:cfRule>
          <xm:sqref>G31</xm:sqref>
        </x14:conditionalFormatting>
        <x14:conditionalFormatting xmlns:xm="http://schemas.microsoft.com/office/excel/2006/main">
          <x14:cfRule type="containsText" priority="56" text="En Proceso" id="{12A9B999-C351-4DC1-A7B4-FBDDBEE88389}">
            <xm:f>NOT(ISERROR(SEARCH("En Proceso",G13)))</xm:f>
            <x14:dxf>
              <font>
                <color rgb="FF9C5700"/>
              </font>
              <fill>
                <patternFill patternType="solid">
                  <fgColor rgb="FFFFEB9C"/>
                  <bgColor rgb="FFFFEB9C"/>
                </patternFill>
              </fill>
            </x14:dxf>
          </x14:cfRule>
          <xm:sqref>G31</xm:sqref>
        </x14:conditionalFormatting>
        <x14:conditionalFormatting xmlns:xm="http://schemas.microsoft.com/office/excel/2006/main">
          <x14:cfRule type="containsText" priority="57" text="No Entregado" id="{D6E79353-9FB0-4CE0-B59C-14323C96ED30}">
            <xm:f>NOT(ISERROR(SEARCH("No Entregado",G13)))</xm:f>
            <x14:dxf>
              <font>
                <color rgb="FF9C0006"/>
              </font>
              <fill>
                <patternFill patternType="solid">
                  <fgColor rgb="FFFFC7CE"/>
                  <bgColor rgb="FFFFC7CE"/>
                </patternFill>
              </fill>
            </x14:dxf>
          </x14:cfRule>
          <xm:sqref>G31</xm:sqref>
        </x14:conditionalFormatting>
        <x14:conditionalFormatting xmlns:xm="http://schemas.microsoft.com/office/excel/2006/main">
          <x14:cfRule type="containsText" priority="58" text="Completado" id="{BDB3820B-14C5-4A3F-A593-40BD0721DF25}">
            <xm:f>NOT(ISERROR(SEARCH("Completado",G13)))</xm:f>
            <x14:dxf>
              <font>
                <color rgb="FF006100"/>
              </font>
              <fill>
                <patternFill patternType="solid">
                  <fgColor rgb="FFC6EFCE"/>
                  <bgColor rgb="FFC6EFCE"/>
                </patternFill>
              </fill>
            </x14:dxf>
          </x14:cfRule>
          <xm:sqref>G32</xm:sqref>
        </x14:conditionalFormatting>
        <x14:conditionalFormatting xmlns:xm="http://schemas.microsoft.com/office/excel/2006/main">
          <x14:cfRule type="containsText" priority="59" text="En Proceso" id="{022CCC51-E342-47F1-9A0E-B1A5B23251F8}">
            <xm:f>NOT(ISERROR(SEARCH("En Proceso",G13)))</xm:f>
            <x14:dxf>
              <font>
                <color rgb="FF9C5700"/>
              </font>
              <fill>
                <patternFill patternType="solid">
                  <fgColor rgb="FFFFEB9C"/>
                  <bgColor rgb="FFFFEB9C"/>
                </patternFill>
              </fill>
            </x14:dxf>
          </x14:cfRule>
          <xm:sqref>G32</xm:sqref>
        </x14:conditionalFormatting>
        <x14:conditionalFormatting xmlns:xm="http://schemas.microsoft.com/office/excel/2006/main">
          <x14:cfRule type="containsText" priority="60" text="No Entregado" id="{435A108D-5AC5-4C25-B759-BDE10AACE5AD}">
            <xm:f>NOT(ISERROR(SEARCH("No Entregado",G13)))</xm:f>
            <x14:dxf>
              <font>
                <color rgb="FF9C0006"/>
              </font>
              <fill>
                <patternFill patternType="solid">
                  <fgColor rgb="FFFFC7CE"/>
                  <bgColor rgb="FFFFC7CE"/>
                </patternFill>
              </fill>
            </x14:dxf>
          </x14:cfRule>
          <xm:sqref>G32</xm:sqref>
        </x14:conditionalFormatting>
        <x14:conditionalFormatting xmlns:xm="http://schemas.microsoft.com/office/excel/2006/main">
          <x14:cfRule type="containsText" priority="61" text="Completado" id="{9A4F4120-69AC-4663-8A91-5315B713C915}">
            <xm:f>NOT(ISERROR(SEARCH("Completado",G13)))</xm:f>
            <x14:dxf>
              <font>
                <color rgb="FF006100"/>
              </font>
              <fill>
                <patternFill patternType="solid">
                  <fgColor rgb="FFC6EFCE"/>
                  <bgColor rgb="FFC6EFCE"/>
                </patternFill>
              </fill>
            </x14:dxf>
          </x14:cfRule>
          <xm:sqref>G33</xm:sqref>
        </x14:conditionalFormatting>
        <x14:conditionalFormatting xmlns:xm="http://schemas.microsoft.com/office/excel/2006/main">
          <x14:cfRule type="containsText" priority="62" text="En Proceso" id="{1E0DE176-0EF6-44E8-BF3F-DD3C8EA1638F}">
            <xm:f>NOT(ISERROR(SEARCH("En Proceso",G13)))</xm:f>
            <x14:dxf>
              <font>
                <color rgb="FF9C5700"/>
              </font>
              <fill>
                <patternFill patternType="solid">
                  <fgColor rgb="FFFFEB9C"/>
                  <bgColor rgb="FFFFEB9C"/>
                </patternFill>
              </fill>
            </x14:dxf>
          </x14:cfRule>
          <xm:sqref>G33</xm:sqref>
        </x14:conditionalFormatting>
        <x14:conditionalFormatting xmlns:xm="http://schemas.microsoft.com/office/excel/2006/main">
          <x14:cfRule type="containsText" priority="63" text="No Entregado" id="{8865F5F9-676B-45CF-B1AF-D6F3F4E76D88}">
            <xm:f>NOT(ISERROR(SEARCH("No Entregado",G13)))</xm:f>
            <x14:dxf>
              <font>
                <color rgb="FF9C0006"/>
              </font>
              <fill>
                <patternFill patternType="solid">
                  <fgColor rgb="FFFFC7CE"/>
                  <bgColor rgb="FFFFC7CE"/>
                </patternFill>
              </fill>
            </x14:dxf>
          </x14:cfRule>
          <xm:sqref>G33</xm:sqref>
        </x14:conditionalFormatting>
        <x14:conditionalFormatting xmlns:xm="http://schemas.microsoft.com/office/excel/2006/main">
          <x14:cfRule type="containsText" priority="64" text="En Proceso" id="{7C17A3FC-1EBD-4530-A9D3-9FED3C8ECB12}">
            <xm:f>NOT(ISERROR(SEARCH("En Proceso",G18)))</xm:f>
            <x14:dxf>
              <font>
                <color rgb="FF9C5700"/>
              </font>
              <fill>
                <patternFill patternType="solid">
                  <fgColor rgb="FFFFEB9C"/>
                  <bgColor rgb="FFFFEB9C"/>
                </patternFill>
              </fill>
            </x14:dxf>
          </x14:cfRule>
          <xm:sqref>G34</xm:sqref>
        </x14:conditionalFormatting>
        <x14:conditionalFormatting xmlns:xm="http://schemas.microsoft.com/office/excel/2006/main">
          <x14:cfRule type="containsText" priority="65" text="Completado" id="{3A42E4FB-2F86-4C99-B531-DCE485ADDDF5}">
            <xm:f>NOT(ISERROR(SEARCH("Completado",G18)))</xm:f>
            <x14:dxf>
              <font>
                <color rgb="FF006100"/>
              </font>
              <fill>
                <patternFill patternType="solid">
                  <fgColor rgb="FFC6EFCE"/>
                  <bgColor rgb="FFC6EFCE"/>
                </patternFill>
              </fill>
            </x14:dxf>
          </x14:cfRule>
          <xm:sqref>G34</xm:sqref>
        </x14:conditionalFormatting>
        <x14:conditionalFormatting xmlns:xm="http://schemas.microsoft.com/office/excel/2006/main">
          <x14:cfRule type="containsText" priority="66" text="No Entregado" id="{0AEA1D89-16AA-4815-AF72-B19272C36B45}">
            <xm:f>NOT(ISERROR(SEARCH("No Entregado",G18)))</xm:f>
            <x14:dxf>
              <font>
                <color rgb="FF9C0006"/>
              </font>
              <fill>
                <patternFill patternType="solid">
                  <fgColor rgb="FFFFC7CE"/>
                  <bgColor rgb="FFFFC7CE"/>
                </patternFill>
              </fill>
            </x14:dxf>
          </x14:cfRule>
          <xm:sqref>G34</xm:sqref>
        </x14:conditionalFormatting>
        <x14:conditionalFormatting xmlns:xm="http://schemas.microsoft.com/office/excel/2006/main">
          <x14:cfRule type="containsText" priority="67" text="Completado" id="{66B9574D-3D1A-46FC-BC17-97F0511C27D9}">
            <xm:f>NOT(ISERROR(SEARCH("Completado",G13)))</xm:f>
            <x14:dxf>
              <font>
                <color rgb="FF006100"/>
              </font>
              <fill>
                <patternFill patternType="solid">
                  <fgColor rgb="FFC6EFCE"/>
                  <bgColor rgb="FFC6EFCE"/>
                </patternFill>
              </fill>
            </x14:dxf>
          </x14:cfRule>
          <xm:sqref>G36</xm:sqref>
        </x14:conditionalFormatting>
        <x14:conditionalFormatting xmlns:xm="http://schemas.microsoft.com/office/excel/2006/main">
          <x14:cfRule type="containsText" priority="68" text="En Proceso" id="{34B60BEB-67BD-4942-A9C4-2E4C28F1773C}">
            <xm:f>NOT(ISERROR(SEARCH("En Proceso",G13)))</xm:f>
            <x14:dxf>
              <font>
                <color rgb="FF9C5700"/>
              </font>
              <fill>
                <patternFill patternType="solid">
                  <fgColor rgb="FFFFEB9C"/>
                  <bgColor rgb="FFFFEB9C"/>
                </patternFill>
              </fill>
            </x14:dxf>
          </x14:cfRule>
          <xm:sqref>G36</xm:sqref>
        </x14:conditionalFormatting>
        <x14:conditionalFormatting xmlns:xm="http://schemas.microsoft.com/office/excel/2006/main">
          <x14:cfRule type="containsText" priority="69" text="No Entregado" id="{941AA1E6-F58C-4BEC-8F26-A48F32F1B82A}">
            <xm:f>NOT(ISERROR(SEARCH("No Entregado",G13)))</xm:f>
            <x14:dxf>
              <font>
                <color rgb="FF9C0006"/>
              </font>
              <fill>
                <patternFill patternType="solid">
                  <fgColor rgb="FFFFC7CE"/>
                  <bgColor rgb="FFFFC7CE"/>
                </patternFill>
              </fill>
            </x14:dxf>
          </x14:cfRule>
          <xm:sqref>G36</xm:sqref>
        </x14:conditionalFormatting>
        <x14:conditionalFormatting xmlns:xm="http://schemas.microsoft.com/office/excel/2006/main">
          <x14:cfRule type="containsText" priority="70" text="Completado" id="{5931A810-2ECA-4318-921B-43FC1BDAD064}">
            <xm:f>NOT(ISERROR(SEARCH("Completado",G13)))</xm:f>
            <x14:dxf>
              <font>
                <color rgb="FF006100"/>
              </font>
              <fill>
                <patternFill patternType="solid">
                  <fgColor rgb="FFC6EFCE"/>
                  <bgColor rgb="FFC6EFCE"/>
                </patternFill>
              </fill>
            </x14:dxf>
          </x14:cfRule>
          <xm:sqref>G37</xm:sqref>
        </x14:conditionalFormatting>
        <x14:conditionalFormatting xmlns:xm="http://schemas.microsoft.com/office/excel/2006/main">
          <x14:cfRule type="containsText" priority="71" text="En Proceso" id="{C6B03B5F-2900-4F68-82B7-A5392B53239D}">
            <xm:f>NOT(ISERROR(SEARCH("En Proceso",G13)))</xm:f>
            <x14:dxf>
              <font>
                <color rgb="FF9C5700"/>
              </font>
              <fill>
                <patternFill patternType="solid">
                  <fgColor rgb="FFFFEB9C"/>
                  <bgColor rgb="FFFFEB9C"/>
                </patternFill>
              </fill>
            </x14:dxf>
          </x14:cfRule>
          <xm:sqref>G37</xm:sqref>
        </x14:conditionalFormatting>
        <x14:conditionalFormatting xmlns:xm="http://schemas.microsoft.com/office/excel/2006/main">
          <x14:cfRule type="containsText" priority="72" text="No Entregado" id="{71EB7C5C-2F3E-463A-92FA-CCA1A9B1E5D2}">
            <xm:f>NOT(ISERROR(SEARCH("No Entregado",G13)))</xm:f>
            <x14:dxf>
              <font>
                <color rgb="FF9C0006"/>
              </font>
              <fill>
                <patternFill patternType="solid">
                  <fgColor rgb="FFFFC7CE"/>
                  <bgColor rgb="FFFFC7CE"/>
                </patternFill>
              </fill>
            </x14:dxf>
          </x14:cfRule>
          <xm:sqref>G37</xm:sqref>
        </x14:conditionalFormatting>
        <x14:conditionalFormatting xmlns:xm="http://schemas.microsoft.com/office/excel/2006/main">
          <x14:cfRule type="containsText" priority="73" text="Completado" id="{921CA6D0-73C5-4BE2-B198-EC5EB103A659}">
            <xm:f>NOT(ISERROR(SEARCH("Completado",G13)))</xm:f>
            <x14:dxf>
              <font>
                <color rgb="FF006100"/>
              </font>
              <fill>
                <patternFill patternType="solid">
                  <fgColor rgb="FFC6EFCE"/>
                  <bgColor rgb="FFC6EFCE"/>
                </patternFill>
              </fill>
            </x14:dxf>
          </x14:cfRule>
          <xm:sqref>G38</xm:sqref>
        </x14:conditionalFormatting>
        <x14:conditionalFormatting xmlns:xm="http://schemas.microsoft.com/office/excel/2006/main">
          <x14:cfRule type="containsText" priority="74" text="En Proceso" id="{0EDB6437-3207-4FC8-8D6E-6F2F3C53ED2C}">
            <xm:f>NOT(ISERROR(SEARCH("En Proceso",G13)))</xm:f>
            <x14:dxf>
              <font>
                <color rgb="FF9C5700"/>
              </font>
              <fill>
                <patternFill patternType="solid">
                  <fgColor rgb="FFFFEB9C"/>
                  <bgColor rgb="FFFFEB9C"/>
                </patternFill>
              </fill>
            </x14:dxf>
          </x14:cfRule>
          <xm:sqref>G38</xm:sqref>
        </x14:conditionalFormatting>
        <x14:conditionalFormatting xmlns:xm="http://schemas.microsoft.com/office/excel/2006/main">
          <x14:cfRule type="containsText" priority="75" text="No Entregado" id="{7383CB69-69BF-48C1-B509-0AC6C23D01C9}">
            <xm:f>NOT(ISERROR(SEARCH("No Entregado",G13)))</xm:f>
            <x14:dxf>
              <font>
                <color rgb="FF9C0006"/>
              </font>
              <fill>
                <patternFill patternType="solid">
                  <fgColor rgb="FFFFC7CE"/>
                  <bgColor rgb="FFFFC7CE"/>
                </patternFill>
              </fill>
            </x14:dxf>
          </x14:cfRule>
          <xm:sqref>G38</xm:sqref>
        </x14:conditionalFormatting>
        <x14:conditionalFormatting xmlns:xm="http://schemas.microsoft.com/office/excel/2006/main">
          <x14:cfRule type="containsText" priority="76" text="Completado" id="{CEBB8584-6B9E-455F-A601-736FBFC7219D}">
            <xm:f>NOT(ISERROR(SEARCH("Completado",G13)))</xm:f>
            <x14:dxf>
              <font>
                <color rgb="FF006100"/>
              </font>
              <fill>
                <patternFill patternType="solid">
                  <fgColor rgb="FFC6EFCE"/>
                  <bgColor rgb="FFC6EFCE"/>
                </patternFill>
              </fill>
            </x14:dxf>
          </x14:cfRule>
          <xm:sqref>G39:G59</xm:sqref>
        </x14:conditionalFormatting>
        <x14:conditionalFormatting xmlns:xm="http://schemas.microsoft.com/office/excel/2006/main">
          <x14:cfRule type="containsText" priority="77" text="En Proceso" id="{E8E4D52B-0C2A-4D73-A843-05A52858AFB0}">
            <xm:f>NOT(ISERROR(SEARCH("En Proceso",G13)))</xm:f>
            <x14:dxf>
              <font>
                <color rgb="FF9C5700"/>
              </font>
              <fill>
                <patternFill patternType="solid">
                  <fgColor rgb="FFFFEB9C"/>
                  <bgColor rgb="FFFFEB9C"/>
                </patternFill>
              </fill>
            </x14:dxf>
          </x14:cfRule>
          <xm:sqref>G39:G59</xm:sqref>
        </x14:conditionalFormatting>
        <x14:conditionalFormatting xmlns:xm="http://schemas.microsoft.com/office/excel/2006/main">
          <x14:cfRule type="containsText" priority="78" text="No Entregado" id="{7125D3A1-888F-4808-B417-103AF1CF4165}">
            <xm:f>NOT(ISERROR(SEARCH("No Entregado",G13)))</xm:f>
            <x14:dxf>
              <font>
                <color rgb="FF9C0006"/>
              </font>
              <fill>
                <patternFill patternType="solid">
                  <fgColor rgb="FFFFC7CE"/>
                  <bgColor rgb="FFFFC7CE"/>
                </patternFill>
              </fill>
            </x14:dxf>
          </x14:cfRule>
          <xm:sqref>G39:G59</xm:sqref>
        </x14:conditionalFormatting>
        <x14:conditionalFormatting xmlns:xm="http://schemas.microsoft.com/office/excel/2006/main">
          <x14:cfRule type="containsText" priority="79" text="En Proceso" id="{0A88F667-CD54-4FEA-BD1F-2F5B19CE153B}">
            <xm:f>NOT(ISERROR(SEARCH("En Proceso",G18)))</xm:f>
            <x14:dxf>
              <font>
                <color rgb="FF9C5700"/>
              </font>
              <fill>
                <patternFill patternType="solid">
                  <fgColor rgb="FFFFEB9C"/>
                  <bgColor rgb="FFFFEB9C"/>
                </patternFill>
              </fill>
            </x14:dxf>
          </x14:cfRule>
          <xm:sqref>G61:G67</xm:sqref>
        </x14:conditionalFormatting>
        <x14:conditionalFormatting xmlns:xm="http://schemas.microsoft.com/office/excel/2006/main">
          <x14:cfRule type="containsText" priority="80" text="Completado" id="{2EE0C6F7-2222-4D6A-AD67-57B7538808A3}">
            <xm:f>NOT(ISERROR(SEARCH("Completado",G18)))</xm:f>
            <x14:dxf>
              <font>
                <color rgb="FF006100"/>
              </font>
              <fill>
                <patternFill patternType="solid">
                  <fgColor rgb="FFC6EFCE"/>
                  <bgColor rgb="FFC6EFCE"/>
                </patternFill>
              </fill>
            </x14:dxf>
          </x14:cfRule>
          <xm:sqref>G61:G67</xm:sqref>
        </x14:conditionalFormatting>
        <x14:conditionalFormatting xmlns:xm="http://schemas.microsoft.com/office/excel/2006/main">
          <x14:cfRule type="containsText" priority="81" text="No Entregado" id="{A9DF775E-3830-4215-9BE6-01A0B1D56E31}">
            <xm:f>NOT(ISERROR(SEARCH("No Entregado",G18)))</xm:f>
            <x14:dxf>
              <font>
                <color rgb="FF9C0006"/>
              </font>
              <fill>
                <patternFill patternType="solid">
                  <fgColor rgb="FFFFC7CE"/>
                  <bgColor rgb="FFFFC7CE"/>
                </patternFill>
              </fill>
            </x14:dxf>
          </x14:cfRule>
          <xm:sqref>G61:G67</xm:sqref>
        </x14:conditionalFormatting>
        <x14:conditionalFormatting xmlns:xm="http://schemas.microsoft.com/office/excel/2006/main">
          <x14:cfRule type="containsText" priority="82" text="Completado" id="{CFC203FD-C83D-4C29-9464-8A90AF5F27A6}">
            <xm:f>NOT(ISERROR(SEARCH("Completado",G13)))</xm:f>
            <x14:dxf>
              <font>
                <color rgb="FF006100"/>
              </font>
              <fill>
                <patternFill patternType="solid">
                  <fgColor rgb="FFC6EFCE"/>
                  <bgColor rgb="FFC6EFCE"/>
                </patternFill>
              </fill>
            </x14:dxf>
          </x14:cfRule>
          <xm:sqref>G68</xm:sqref>
        </x14:conditionalFormatting>
        <x14:conditionalFormatting xmlns:xm="http://schemas.microsoft.com/office/excel/2006/main">
          <x14:cfRule type="containsText" priority="83" text="En Proceso" id="{ED5437B7-96A8-44A6-88BE-47D37B01993D}">
            <xm:f>NOT(ISERROR(SEARCH("En Proceso",G13)))</xm:f>
            <x14:dxf>
              <font>
                <color rgb="FF9C5700"/>
              </font>
              <fill>
                <patternFill patternType="solid">
                  <fgColor rgb="FFFFEB9C"/>
                  <bgColor rgb="FFFFEB9C"/>
                </patternFill>
              </fill>
            </x14:dxf>
          </x14:cfRule>
          <xm:sqref>G68</xm:sqref>
        </x14:conditionalFormatting>
        <x14:conditionalFormatting xmlns:xm="http://schemas.microsoft.com/office/excel/2006/main">
          <x14:cfRule type="containsText" priority="84" text="No Entregado" id="{5700FB87-50C1-4ED1-8A93-A17636044E48}">
            <xm:f>NOT(ISERROR(SEARCH("No Entregado",G13)))</xm:f>
            <x14:dxf>
              <font>
                <color rgb="FF9C0006"/>
              </font>
              <fill>
                <patternFill patternType="solid">
                  <fgColor rgb="FFFFC7CE"/>
                  <bgColor rgb="FFFFC7CE"/>
                </patternFill>
              </fill>
            </x14:dxf>
          </x14:cfRule>
          <xm:sqref>G68</xm:sqref>
        </x14:conditionalFormatting>
        <x14:conditionalFormatting xmlns:xm="http://schemas.microsoft.com/office/excel/2006/main">
          <x14:cfRule type="containsText" priority="85" text="Completado" id="{F4D79D4C-87F7-4B44-ACF0-C78010C1DA49}">
            <xm:f>NOT(ISERROR(SEARCH("Completado",G13)))</xm:f>
            <x14:dxf>
              <font>
                <color rgb="FF006100"/>
              </font>
              <fill>
                <patternFill patternType="solid">
                  <fgColor rgb="FFC6EFCE"/>
                  <bgColor rgb="FFC6EFCE"/>
                </patternFill>
              </fill>
            </x14:dxf>
          </x14:cfRule>
          <xm:sqref>G69</xm:sqref>
        </x14:conditionalFormatting>
        <x14:conditionalFormatting xmlns:xm="http://schemas.microsoft.com/office/excel/2006/main">
          <x14:cfRule type="containsText" priority="86" text="En Proceso" id="{E0F25A73-410B-426C-9156-7EC8FCAE6C77}">
            <xm:f>NOT(ISERROR(SEARCH("En Proceso",G13)))</xm:f>
            <x14:dxf>
              <font>
                <color rgb="FF9C5700"/>
              </font>
              <fill>
                <patternFill patternType="solid">
                  <fgColor rgb="FFFFEB9C"/>
                  <bgColor rgb="FFFFEB9C"/>
                </patternFill>
              </fill>
            </x14:dxf>
          </x14:cfRule>
          <xm:sqref>G69</xm:sqref>
        </x14:conditionalFormatting>
        <x14:conditionalFormatting xmlns:xm="http://schemas.microsoft.com/office/excel/2006/main">
          <x14:cfRule type="containsText" priority="87" text="No Entregado" id="{9D0DE07C-F3DD-448A-AEDB-2D3A614B025B}">
            <xm:f>NOT(ISERROR(SEARCH("No Entregado",G13)))</xm:f>
            <x14:dxf>
              <font>
                <color rgb="FF9C0006"/>
              </font>
              <fill>
                <patternFill patternType="solid">
                  <fgColor rgb="FFFFC7CE"/>
                  <bgColor rgb="FFFFC7CE"/>
                </patternFill>
              </fill>
            </x14:dxf>
          </x14:cfRule>
          <xm:sqref>G69</xm:sqref>
        </x14:conditionalFormatting>
        <x14:conditionalFormatting xmlns:xm="http://schemas.microsoft.com/office/excel/2006/main">
          <x14:cfRule type="containsText" priority="10" text="Completado" id="{0BD0CFF7-7D27-47CC-9FCA-629C492D0D2E}">
            <xm:f>NOT(ISERROR(SEARCH("Completado",G13)))</xm:f>
            <x14:dxf>
              <font>
                <color rgb="FF006100"/>
              </font>
              <fill>
                <patternFill patternType="solid">
                  <fgColor rgb="FFC6EFCE"/>
                  <bgColor rgb="FFC6EFCE"/>
                </patternFill>
              </fill>
            </x14:dxf>
          </x14:cfRule>
          <xm:sqref>G13:G34</xm:sqref>
        </x14:conditionalFormatting>
        <x14:conditionalFormatting xmlns:xm="http://schemas.microsoft.com/office/excel/2006/main">
          <x14:cfRule type="containsText" priority="9" text="En Desarrollo" id="{767E9077-619E-4B7A-B616-DBAF9101BA71}">
            <xm:f>NOT(ISERROR(SEARCH("En Desarrollo",G13)))</xm:f>
            <x14:dxf>
              <font>
                <color rgb="FF9C5700"/>
              </font>
              <fill>
                <patternFill patternType="solid">
                  <fgColor rgb="FFFFEB9C"/>
                  <bgColor rgb="FFFFEB9C"/>
                </patternFill>
              </fill>
            </x14:dxf>
          </x14:cfRule>
          <xm:sqref>G13:G34</xm:sqref>
        </x14:conditionalFormatting>
        <x14:conditionalFormatting xmlns:xm="http://schemas.microsoft.com/office/excel/2006/main">
          <x14:cfRule type="containsText" priority="8" text="En Proceso" id="{14343EF8-69E2-4990-A3CE-0E42E5367BDF}">
            <xm:f>NOT(ISERROR(SEARCH("En Proceso",G13)))</xm:f>
            <x14:dxf>
              <font>
                <color rgb="FF9C5700"/>
              </font>
              <fill>
                <patternFill patternType="solid">
                  <fgColor rgb="FFFFEB9C"/>
                  <bgColor rgb="FFFFEB9C"/>
                </patternFill>
              </fill>
            </x14:dxf>
          </x14:cfRule>
          <xm:sqref>G13:G34</xm:sqref>
        </x14:conditionalFormatting>
        <x14:conditionalFormatting xmlns:xm="http://schemas.microsoft.com/office/excel/2006/main">
          <x14:cfRule type="containsText" priority="7" text="No Entregado" id="{CE4D4C0C-F34B-4C95-A839-531520BD3D83}">
            <xm:f>NOT(ISERROR(SEARCH("No Entregado",G13)))</xm:f>
            <x14:dxf>
              <font>
                <color rgb="FF9C0006"/>
              </font>
              <fill>
                <patternFill patternType="solid">
                  <fgColor rgb="FFFFC7CE"/>
                  <bgColor rgb="FFFFC7CE"/>
                </patternFill>
              </fill>
            </x14:dxf>
          </x14:cfRule>
          <xm:sqref>G13:G34</xm:sqref>
        </x14:conditionalFormatting>
        <x14:conditionalFormatting xmlns:xm="http://schemas.microsoft.com/office/excel/2006/main">
          <x14:cfRule type="containsText" priority="6" text="Completado" id="{E2C22D59-24B2-421E-878D-11D23B283FEB}">
            <xm:f>NOT(ISERROR(SEARCH("Completado",G36)))</xm:f>
            <x14:dxf>
              <font>
                <color rgb="FF006100"/>
              </font>
              <fill>
                <patternFill patternType="solid">
                  <fgColor rgb="FFC6EFCE"/>
                  <bgColor rgb="FFC6EFCE"/>
                </patternFill>
              </fill>
            </x14:dxf>
          </x14:cfRule>
          <xm:sqref>G36:G59</xm:sqref>
        </x14:conditionalFormatting>
        <x14:conditionalFormatting xmlns:xm="http://schemas.microsoft.com/office/excel/2006/main">
          <x14:cfRule type="containsText" priority="5" text="En Proceso" id="{C019EC03-4D78-4642-9A93-9D4DA32038A4}">
            <xm:f>NOT(ISERROR(SEARCH("En Proceso",G36)))</xm:f>
            <x14:dxf>
              <font>
                <color rgb="FF9C5700"/>
              </font>
              <fill>
                <patternFill patternType="solid">
                  <fgColor rgb="FFFFEB9C"/>
                  <bgColor rgb="FFFFEB9C"/>
                </patternFill>
              </fill>
            </x14:dxf>
          </x14:cfRule>
          <xm:sqref>G36:G59</xm:sqref>
        </x14:conditionalFormatting>
        <x14:conditionalFormatting xmlns:xm="http://schemas.microsoft.com/office/excel/2006/main">
          <x14:cfRule type="containsText" priority="4" text="No Entregado" id="{0B7770B1-EB4E-43EA-8B73-0D2BE65A8818}">
            <xm:f>NOT(ISERROR(SEARCH("No Entregado",G36)))</xm:f>
            <x14:dxf>
              <font>
                <color rgb="FF9C0006"/>
              </font>
              <fill>
                <patternFill patternType="solid">
                  <fgColor rgb="FFFFC7CE"/>
                  <bgColor rgb="FFFFC7CE"/>
                </patternFill>
              </fill>
            </x14:dxf>
          </x14:cfRule>
          <xm:sqref>G36:G59</xm:sqref>
        </x14:conditionalFormatting>
        <x14:conditionalFormatting xmlns:xm="http://schemas.microsoft.com/office/excel/2006/main">
          <x14:cfRule type="containsText" priority="3" text="Completado" id="{C65255BC-5E2E-446D-AA35-2AAB13343B0C}">
            <xm:f>NOT(ISERROR(SEARCH("Completado",G61)))</xm:f>
            <x14:dxf>
              <font>
                <color rgb="FF006100"/>
              </font>
              <fill>
                <patternFill patternType="solid">
                  <fgColor rgb="FFC6EFCE"/>
                  <bgColor rgb="FFC6EFCE"/>
                </patternFill>
              </fill>
            </x14:dxf>
          </x14:cfRule>
          <xm:sqref>G61:G69</xm:sqref>
        </x14:conditionalFormatting>
        <x14:conditionalFormatting xmlns:xm="http://schemas.microsoft.com/office/excel/2006/main">
          <x14:cfRule type="containsText" priority="2" text="En Proceso" id="{EB24F533-6E9A-4C58-9A5C-95FBA4320DC5}">
            <xm:f>NOT(ISERROR(SEARCH("En Proceso",G61)))</xm:f>
            <x14:dxf>
              <font>
                <color rgb="FF9C5700"/>
              </font>
              <fill>
                <patternFill patternType="solid">
                  <fgColor rgb="FFFFEB9C"/>
                  <bgColor rgb="FFFFEB9C"/>
                </patternFill>
              </fill>
            </x14:dxf>
          </x14:cfRule>
          <xm:sqref>G61:G69</xm:sqref>
        </x14:conditionalFormatting>
        <x14:conditionalFormatting xmlns:xm="http://schemas.microsoft.com/office/excel/2006/main">
          <x14:cfRule type="containsText" priority="1" text="No Entregado" id="{7F6BB284-8CEB-4B7C-8CD5-4F696E4E7923}">
            <xm:f>NOT(ISERROR(SEARCH("No Entregado",G61)))</xm:f>
            <x14:dxf>
              <font>
                <color rgb="FF9C0006"/>
              </font>
              <fill>
                <patternFill patternType="solid">
                  <fgColor rgb="FFFFC7CE"/>
                  <bgColor rgb="FFFFC7CE"/>
                </patternFill>
              </fill>
            </x14:dxf>
          </x14:cfRule>
          <xm:sqref>G61:G69</xm:sqref>
        </x14:conditionalFormatting>
      </x14:conditionalFormattings>
    </ext>
    <ext xmlns:x14="http://schemas.microsoft.com/office/spreadsheetml/2009/9/main" uri="{CCE6A557-97BC-4b89-ADB6-D9C93CAAB3DF}">
      <x14:dataValidations xmlns:xm="http://schemas.microsoft.com/office/excel/2006/main" count="8" disablePrompts="0">
        <x14:dataValidation xr:uid="{53EC063D-FB16-4465-A0B8-730CB216547B}" type="list" allowBlank="1" errorStyle="stop" imeMode="noControl" operator="between" showDropDown="0" showErrorMessage="1" showInputMessage="1">
          <x14:formula1>
            <xm:f>$B$4:$B$8</xm:f>
          </x14:formula1>
          <xm:sqref>F13:F34 F36 F37 F38 F39 F40 F41 F42 F43 F44 F45 F46 F47 F48 F49 F50 F51 F52 F53 F54 F55 F56 F57 F58 F59 F61 F62 F63 F64 F65 F66 F67 F68 F69 F70 F71 F72 F73</xm:sqref>
        </x14:dataValidation>
        <x14:dataValidation xr:uid="{AC7F6920-50CA-474B-884D-E669AE24AB21}" type="list" allowBlank="1" errorStyle="stop" imeMode="noControl" operator="between" showDropDown="0" showErrorMessage="1" showInputMessage="1">
          <x14:formula1>
            <xm:f>$F$4:$F$6</xm:f>
          </x14:formula1>
          <xm:sqref>G13:G17</xm:sqref>
        </x14:dataValidation>
        <x14:dataValidation xr:uid="{16425DD8-631A-4547-8E67-6B73BDF1037F}" type="list" allowBlank="1" errorStyle="stop" imeMode="noControl" operator="between" showDropDown="0" showErrorMessage="1" showInputMessage="1">
          <x14:formula1>
            <xm:f>$F$4:$F$6</xm:f>
          </x14:formula1>
          <xm:sqref>G18:G23</xm:sqref>
        </x14:dataValidation>
        <x14:dataValidation xr:uid="{12E32699-2BB9-4D97-9637-CFF5B3CD6960}" type="list" allowBlank="1" errorStyle="stop" imeMode="noControl" operator="between" showDropDown="0" showErrorMessage="1" showInputMessage="1">
          <x14:formula1>
            <xm:f>$F$4:$F$6</xm:f>
          </x14:formula1>
          <xm:sqref>G24:G28</xm:sqref>
        </x14:dataValidation>
        <x14:dataValidation xr:uid="{BA9C1174-118F-4F26-94A9-C2E8670A881A}" type="list" allowBlank="1" errorStyle="stop" imeMode="noControl" operator="between" showDropDown="0" showErrorMessage="1" showInputMessage="1">
          <x14:formula1>
            <xm:f>$F$4:$F$6</xm:f>
          </x14:formula1>
          <xm:sqref>G29:G30</xm:sqref>
        </x14:dataValidation>
        <x14:dataValidation xr:uid="{1F3C5BEB-E26C-4CD3-995B-3720E64AF146}" type="list" allowBlank="1" errorStyle="stop" imeMode="noControl" operator="between" showDropDown="0" showErrorMessage="1" showInputMessage="1">
          <x14:formula1>
            <xm:f>$F$4:$F$6</xm:f>
          </x14:formula1>
          <xm:sqref>G31:G33</xm:sqref>
        </x14:dataValidation>
        <x14:dataValidation xr:uid="{C56120BF-6220-438C-8A48-A08240A42579}" type="list" allowBlank="1" errorStyle="stop" imeMode="noControl" operator="between" showDropDown="0" showErrorMessage="1" showInputMessage="1">
          <x14:formula1>
            <xm:f>$F$4:$F$6</xm:f>
          </x14:formula1>
          <xm:sqref>G34</xm:sqref>
        </x14:dataValidation>
        <x14:dataValidation xr:uid="{458F28CC-EF98-4364-9391-95A6E8364E24}" type="list" allowBlank="1" errorStyle="stop" imeMode="noControl" operator="between" showDropDown="0" showErrorMessage="1" showInputMessage="1">
          <x14:formula1>
            <xm:f>$F$4:$F$6</xm:f>
          </x14:formula1>
          <xm:sqref>G36:G59 G61:G69</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ONLYOFFICE/9.4.0.129</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AskingMansOz</dc:creator>
  <cp:revision>18</cp:revision>
  <dcterms:created xsi:type="dcterms:W3CDTF">2015-06-05T18:19:34Z</dcterms:created>
  <dcterms:modified xsi:type="dcterms:W3CDTF">2026-10-21T08:59:13Z</dcterms:modified>
</cp:coreProperties>
</file>