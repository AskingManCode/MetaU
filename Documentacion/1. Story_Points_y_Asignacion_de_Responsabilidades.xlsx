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Default Extension="vml" ContentType="application/vnd.openxmlformats-officedocument.vmlDrawing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xl/threadedComments/threadedComment1.xml" ContentType="application/vnd.ms-excel.threadedcomment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eso Historias de Usuario" sheetId="1" state="visible" r:id="rId2"/>
  </sheets>
  <definedNames>
    <definedName name="solver_ver" localSheetId="0" hidden="1">3</definedName>
    <definedName name="solver_est" localSheetId="0" hidden="1">1</definedName>
    <definedName name="solver_nwt" localSheetId="0" hidden="1">1</definedName>
    <definedName name="solver_typ" localSheetId="0" hidden="1">1</definedName>
    <definedName name="solver_val" localSheetId="0" hidden="1">0</definedName>
    <definedName name="solver_neg" localSheetId="0" hidden="1">1</definedName>
    <definedName name="solver_eng" localSheetId="0" hidden="1">2</definedName>
    <definedName name="solver_pre" localSheetId="0" hidden="1">1</definedName>
    <definedName name="solver_scl" localSheetId="0" hidden="1">2</definedName>
    <definedName name="solver_tim" localSheetId="0" hidden="1">2147483647</definedName>
    <definedName name="solver_itr" localSheetId="0" hidden="1">2147483647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tc={04CB6911-E216-5FFA-A00E-331AF1FB8FD4}</author>
    <author>tc={6A98EA58-EBE2-D560-1FEC-96EE11A8B0CE}</author>
  </authors>
  <commentList>
    <comment ref="C4" authorId="0" xr:uid="{04CB6911-E216-5FFA-A00E-331AF1FB8FD4}">
      <text>
        <r>
          <rPr>
            <b/>
            <sz val="9"/>
            <rFont val="Tahoma"/>
          </rPr>
          <t>AskingMansOz:</t>
        </r>
        <r>
          <rPr>
            <sz val="9"/>
            <rFont val="Tahoma"/>
          </rPr>
          <t xml:space="preserve">
Mide la carga de trabajo del equipo con base en el promedio de puntos acumulados por los integrantes:
* Verde: Por debajo del promedio (menor carga).
* Amarillo: En el promedio exacto (carga equilibrada).
* Rojo: Por encima del promedio (sobrecarga de trabajo).
Lo ideal es que la carga de trabajo se mantengan cerca del promedio.
</t>
        </r>
      </text>
    </comment>
    <comment ref="D4" authorId="1" xr:uid="{6A98EA58-EBE2-D560-1FEC-96EE11A8B0CE}">
      <text>
        <r>
          <rPr>
            <b/>
            <sz val="9"/>
            <rFont val="Tahoma"/>
          </rPr>
          <t>AskingMansOz:</t>
        </r>
        <r>
          <rPr>
            <sz val="9"/>
            <rFont val="Tahoma"/>
          </rPr>
          <t xml:space="preserve">
21.6 x Persona
</t>
        </r>
      </text>
    </comment>
  </commentList>
</comments>
</file>

<file path=xl/sharedStrings.xml><?xml version="1.0" encoding="utf-8"?>
<sst xmlns="http://schemas.openxmlformats.org/spreadsheetml/2006/main" count="140" uniqueCount="140">
  <si>
    <t xml:space="preserve">Integrantes Proyecto</t>
  </si>
  <si>
    <t xml:space="preserve">Puntaje Obtenido</t>
  </si>
  <si>
    <t xml:space="preserve">Cantidad Historias de Usuario Asignadas</t>
  </si>
  <si>
    <t>Estados</t>
  </si>
  <si>
    <t xml:space="preserve">Sebastián Jiménez Arrieta</t>
  </si>
  <si>
    <t>Entregado</t>
  </si>
  <si>
    <t xml:space="preserve">Brandon Guido Navarro</t>
  </si>
  <si>
    <t xml:space="preserve">No Entregado</t>
  </si>
  <si>
    <t xml:space="preserve">Sebastián Obando Ramírez</t>
  </si>
  <si>
    <t xml:space="preserve">En Desarrollo</t>
  </si>
  <si>
    <t xml:space="preserve">Julián Solano Obando</t>
  </si>
  <si>
    <t xml:space="preserve">Anthony Gamboa Elizondo</t>
  </si>
  <si>
    <t>Total</t>
  </si>
  <si>
    <t>Modulo</t>
  </si>
  <si>
    <t>ID</t>
  </si>
  <si>
    <t xml:space="preserve">Historia de Usuario (Primer Sprint)</t>
  </si>
  <si>
    <t xml:space="preserve">Story Points</t>
  </si>
  <si>
    <t xml:space="preserve">Asignado a</t>
  </si>
  <si>
    <t>Estado</t>
  </si>
  <si>
    <t xml:space="preserve">Usuarios y roles</t>
  </si>
  <si>
    <t>USR1</t>
  </si>
  <si>
    <t xml:space="preserve">Servicio para Administrar Usuarios</t>
  </si>
  <si>
    <t>USR2</t>
  </si>
  <si>
    <t xml:space="preserve">Servicio para Administrar Roles</t>
  </si>
  <si>
    <t>USR3</t>
  </si>
  <si>
    <t xml:space="preserve">Servicio para Administrar Parametrización</t>
  </si>
  <si>
    <t>USR4</t>
  </si>
  <si>
    <t xml:space="preserve">Servicio para Administrar Módulos</t>
  </si>
  <si>
    <t>USR5</t>
  </si>
  <si>
    <t xml:space="preserve">Servicio para Login</t>
  </si>
  <si>
    <t xml:space="preserve">Oferta acádecima</t>
  </si>
  <si>
    <t>ACD1</t>
  </si>
  <si>
    <t xml:space="preserve">Servicio para Administrar Instituciones</t>
  </si>
  <si>
    <t>ACD2</t>
  </si>
  <si>
    <t xml:space="preserve">Servicio para Administrar Carreras</t>
  </si>
  <si>
    <t>ACD3</t>
  </si>
  <si>
    <t xml:space="preserve">Servicio para Administrar Cursos</t>
  </si>
  <si>
    <t>ACD4</t>
  </si>
  <si>
    <t xml:space="preserve">Servicio para Administrar Grupos</t>
  </si>
  <si>
    <t>ACD5</t>
  </si>
  <si>
    <t xml:space="preserve">Servicio para Administrar Periodos</t>
  </si>
  <si>
    <t>ACD6</t>
  </si>
  <si>
    <t xml:space="preserve">Servicio para Administrar Profesores</t>
  </si>
  <si>
    <t>Matrícula</t>
  </si>
  <si>
    <t>MAT1</t>
  </si>
  <si>
    <t xml:space="preserve">Servicio para Administrar Prematrícula</t>
  </si>
  <si>
    <t>MAT2</t>
  </si>
  <si>
    <t xml:space="preserve">Servicio para Administrar Matrícula</t>
  </si>
  <si>
    <t>MAT3</t>
  </si>
  <si>
    <t xml:space="preserve">Servicio para Administrar Expedientes de Estudiantes</t>
  </si>
  <si>
    <t>MAT4</t>
  </si>
  <si>
    <t xml:space="preserve">Servicio para Administrar Direcciones</t>
  </si>
  <si>
    <t>MAT5</t>
  </si>
  <si>
    <t xml:space="preserve">Servicio para Admininstrar Notas</t>
  </si>
  <si>
    <t>Académico</t>
  </si>
  <si>
    <t>ACA1</t>
  </si>
  <si>
    <t xml:space="preserve">Servicio para Consultar Historial Académico</t>
  </si>
  <si>
    <t>ACA2</t>
  </si>
  <si>
    <t xml:space="preserve">Servicio para Consultar Listado de Estudiantes</t>
  </si>
  <si>
    <t xml:space="preserve">Integración de pagos y notificaciones</t>
  </si>
  <si>
    <t>IPN1</t>
  </si>
  <si>
    <t xml:space="preserve">Servicio para Administrar Facturación</t>
  </si>
  <si>
    <t>IPN2</t>
  </si>
  <si>
    <t xml:space="preserve">Servicio para Administrar Pagos</t>
  </si>
  <si>
    <t>IPN3</t>
  </si>
  <si>
    <t xml:space="preserve">Servicio para Gestiónar Notificaciones</t>
  </si>
  <si>
    <t>General</t>
  </si>
  <si>
    <t>GEN1</t>
  </si>
  <si>
    <t xml:space="preserve">Servicio para Registrar y Consultar Bitácoras</t>
  </si>
  <si>
    <t xml:space="preserve">Historia de Usuario (Segundo Sprint)</t>
  </si>
  <si>
    <t>Administración</t>
  </si>
  <si>
    <t>ADM1</t>
  </si>
  <si>
    <t xml:space="preserve">Plantilla Web </t>
  </si>
  <si>
    <t>ADM2</t>
  </si>
  <si>
    <t xml:space="preserve">Pantalla Web para Login</t>
  </si>
  <si>
    <t>ADM3</t>
  </si>
  <si>
    <t xml:space="preserve">Pantalla Web de Bienvenida</t>
  </si>
  <si>
    <t>ADM4</t>
  </si>
  <si>
    <t xml:space="preserve">Pantalla Web para Administrar Usuarios</t>
  </si>
  <si>
    <t>ADM5</t>
  </si>
  <si>
    <t xml:space="preserve">Pantalla Web para Administrar Roles</t>
  </si>
  <si>
    <t>ADM6</t>
  </si>
  <si>
    <t xml:space="preserve">Pantalla Web para Administrar Parametros</t>
  </si>
  <si>
    <t>ADM7</t>
  </si>
  <si>
    <t xml:space="preserve">Pantalla Web para Administrar Módulos</t>
  </si>
  <si>
    <t>ADM8</t>
  </si>
  <si>
    <t xml:space="preserve">Pantalla Web para Administrar Instituciones</t>
  </si>
  <si>
    <t>ADM9</t>
  </si>
  <si>
    <t xml:space="preserve">Pantalla Web para Administrar Carreas</t>
  </si>
  <si>
    <t>ADM10</t>
  </si>
  <si>
    <t xml:space="preserve">Pantalla Web para Administrar Cursos</t>
  </si>
  <si>
    <t>ADM11</t>
  </si>
  <si>
    <t xml:space="preserve">Pantalla Web para Administrar Profesores</t>
  </si>
  <si>
    <t>ADM12</t>
  </si>
  <si>
    <t xml:space="preserve">Pantalla Web para Administrar Periodos</t>
  </si>
  <si>
    <t>ADM13</t>
  </si>
  <si>
    <t xml:space="preserve">Pantalla Web para Administrar Grupos</t>
  </si>
  <si>
    <t>ADM14</t>
  </si>
  <si>
    <t xml:space="preserve">Pantalla Web para Administrar Prematrículas</t>
  </si>
  <si>
    <t>ADM15</t>
  </si>
  <si>
    <t xml:space="preserve">Pantalla Web para Administrar Matrículas</t>
  </si>
  <si>
    <t>ADM16</t>
  </si>
  <si>
    <t xml:space="preserve">Pantalla Web para Administrar Expedientes</t>
  </si>
  <si>
    <t>ADM17</t>
  </si>
  <si>
    <t xml:space="preserve">Pantalla Web para Cargar Desgloses y Asignar/Modificar Notas</t>
  </si>
  <si>
    <t>ADM18</t>
  </si>
  <si>
    <t xml:space="preserve">Pantalla Web para Visualizar Promedios</t>
  </si>
  <si>
    <t>ADM19</t>
  </si>
  <si>
    <t xml:space="preserve">Pantalla Web para Obtener Listados de Estudianters</t>
  </si>
  <si>
    <t>ADM20</t>
  </si>
  <si>
    <t xml:space="preserve">Pantalla Web para Administrar Facturas</t>
  </si>
  <si>
    <t>ADM21</t>
  </si>
  <si>
    <t xml:space="preserve">Pantalla para Administrar Pagos</t>
  </si>
  <si>
    <t>ADM22</t>
  </si>
  <si>
    <t xml:space="preserve">Pantalla para Enviar Notificaciones por Correo</t>
  </si>
  <si>
    <t>ADM23</t>
  </si>
  <si>
    <t xml:space="preserve">Pantalla para Consultar Bitácora</t>
  </si>
  <si>
    <t>ADM24</t>
  </si>
  <si>
    <t xml:space="preserve">Pantalla para Ver Perfil y Cambiar Contraseña</t>
  </si>
  <si>
    <t xml:space="preserve">Historia de Usuario (Tercer Sprint)</t>
  </si>
  <si>
    <t>Mobile</t>
  </si>
  <si>
    <t>MOB0</t>
  </si>
  <si>
    <t xml:space="preserve">Plantilla Móvil/Web</t>
  </si>
  <si>
    <t>MOB1</t>
  </si>
  <si>
    <t xml:space="preserve">Pantalla Móvil/Web de Login</t>
  </si>
  <si>
    <t>MOB2</t>
  </si>
  <si>
    <t xml:space="preserve">Pantalla Móvil/Web para ver Resumen de Estado</t>
  </si>
  <si>
    <t>MOB3</t>
  </si>
  <si>
    <t xml:space="preserve">Pantalla Móvil/Web para Administrar "Mi expediente"</t>
  </si>
  <si>
    <t>MOB4</t>
  </si>
  <si>
    <t xml:space="preserve">Pantalla Móvil/Web para Realizar Prematrícula</t>
  </si>
  <si>
    <t>MOB5</t>
  </si>
  <si>
    <t xml:space="preserve">Pantalla Móvil/Web para Realizar Matrícula</t>
  </si>
  <si>
    <t>MOB6</t>
  </si>
  <si>
    <t xml:space="preserve">Pantalla Móvil/Web para Consultar "Mis cursos"</t>
  </si>
  <si>
    <t>Gateway</t>
  </si>
  <si>
    <t>GTW1</t>
  </si>
  <si>
    <t xml:space="preserve">Gateway como Punto Único de Entrada</t>
  </si>
  <si>
    <t>GTW2</t>
  </si>
  <si>
    <t xml:space="preserve">Autenticación y Autorización en Gateway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</si>
</sst>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sz val="11.000000"/>
      <color rgb="FF9C0006"/>
      <name val="Calibri"/>
      <scheme val="minor"/>
    </font>
    <font>
      <sz val="11.000000"/>
      <color rgb="FF9C6500"/>
      <name val="Calibri"/>
      <scheme val="minor"/>
    </font>
    <font>
      <sz val="11.000000"/>
      <color rgb="FF006100"/>
      <name val="Calibri"/>
      <scheme val="minor"/>
    </font>
    <font>
      <b/>
      <sz val="11.000000"/>
      <color theme="1"/>
      <name val="Calibri"/>
      <scheme val="minor"/>
    </font>
    <font>
      <u/>
      <sz val="11.000000"/>
      <color theme="1"/>
      <name val="Calibri"/>
      <scheme val="minor"/>
    </font>
    <font>
      <sz val="11.000000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00B0F0"/>
        <bgColor rgb="FF00B0F0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</patternFill>
    </fill>
    <fill>
      <patternFill patternType="solid">
        <fgColor theme="3" tint="0.79998168889431442"/>
        <bgColor theme="3" tint="0.79998168889431442"/>
      </patternFill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</fills>
  <borders count="22">
    <border>
      <left style="none"/>
      <right style="none"/>
      <top style="none"/>
      <bottom style="none"/>
      <diagonal style="none"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 style="none"/>
    </border>
    <border>
      <left style="thick">
        <color auto="1"/>
      </left>
      <right style="thick">
        <color auto="1"/>
      </right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ck">
        <color auto="1"/>
      </left>
      <right style="thick">
        <color auto="1"/>
      </right>
      <top style="thin">
        <color theme="1"/>
      </top>
      <bottom style="thin">
        <color theme="1"/>
      </bottom>
      <diagonal style="none"/>
    </border>
    <border>
      <left style="thick">
        <color auto="1"/>
      </left>
      <right style="thick">
        <color auto="1"/>
      </right>
      <top style="thin">
        <color theme="1"/>
      </top>
      <bottom style="thick">
        <color auto="1"/>
      </bottom>
      <diagonal style="none"/>
    </border>
    <border>
      <left style="thick">
        <color auto="1"/>
      </left>
      <right style="thick">
        <color auto="1"/>
      </right>
      <top style="none"/>
      <bottom style="thick">
        <color auto="1"/>
      </bottom>
      <diagonal style="none"/>
    </border>
    <border>
      <left style="none"/>
      <right style="thick">
        <color auto="1"/>
      </right>
      <top style="thick">
        <color auto="1"/>
      </top>
      <bottom style="thick">
        <color auto="1"/>
      </bottom>
      <diagonal style="none"/>
    </border>
    <border>
      <left style="thick">
        <color auto="1"/>
      </left>
      <right style="none"/>
      <top style="thick">
        <color auto="1"/>
      </top>
      <bottom style="thick">
        <color auto="1"/>
      </bottom>
      <diagonal style="none"/>
    </border>
    <border>
      <left style="thick">
        <color auto="1"/>
      </left>
      <right style="none"/>
      <top style="none"/>
      <bottom style="thin">
        <color theme="1"/>
      </bottom>
      <diagonal style="none"/>
    </border>
    <border>
      <left style="thick">
        <color auto="1"/>
      </left>
      <right style="thick">
        <color auto="1"/>
      </right>
      <top style="thick">
        <color auto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ck">
        <color auto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ck">
        <color auto="1"/>
      </bottom>
      <diagonal style="none"/>
    </border>
    <border>
      <left style="thick">
        <color auto="1"/>
      </left>
      <right style="none"/>
      <top style="thin">
        <color theme="1"/>
      </top>
      <bottom style="thick">
        <color auto="1"/>
      </bottom>
      <diagonal style="none"/>
    </border>
    <border>
      <left style="none"/>
      <right style="none"/>
      <top style="none"/>
      <bottom style="thick">
        <color auto="1"/>
      </bottom>
      <diagonal style="none"/>
    </border>
    <border>
      <left style="thick">
        <color auto="1"/>
      </left>
      <right style="none"/>
      <top style="none"/>
      <bottom style="thick">
        <color auto="1"/>
      </bottom>
      <diagonal style="none"/>
    </border>
    <border>
      <left style="thick">
        <color auto="1"/>
      </left>
      <right style="thick">
        <color auto="1"/>
      </right>
      <top style="thick">
        <color auto="1"/>
      </top>
      <bottom style="none"/>
      <diagonal style="none"/>
    </border>
    <border>
      <left style="thick">
        <color auto="1"/>
      </left>
      <right style="thick">
        <color auto="1"/>
      </right>
      <top style="none"/>
      <bottom style="none"/>
      <diagonal style="none"/>
    </border>
    <border>
      <left style="none"/>
      <right style="none"/>
      <top style="thick">
        <color auto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ck">
        <color auto="1"/>
      </right>
      <top style="none"/>
      <bottom style="thick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2" borderId="0" numFmtId="0" applyNumberFormat="0" applyFont="1" applyFill="1" applyBorder="0"/>
    <xf fontId="2" fillId="3" borderId="0" numFmtId="0" applyNumberFormat="0" applyFont="1" applyFill="1" applyBorder="0"/>
    <xf fontId="3" fillId="4" borderId="0" numFmtId="0" applyNumberFormat="0" applyFont="1" applyFill="1" applyBorder="0"/>
  </cellStyleXfs>
  <cellXfs count="79">
    <xf fontId="0" fillId="0" borderId="0" numFmtId="0" xfId="0"/>
    <xf fontId="0" fillId="0" borderId="0" numFmtId="0" xfId="0" applyAlignment="1">
      <alignment horizontal="center"/>
    </xf>
    <xf fontId="4" fillId="5" borderId="1" numFmtId="0" xfId="0" applyFont="1" applyFill="1" applyBorder="1" applyAlignment="1">
      <alignment horizontal="center" vertical="center"/>
    </xf>
    <xf fontId="4" fillId="6" borderId="2" numFmtId="0" xfId="0" applyFont="1" applyFill="1" applyBorder="1" applyAlignment="1">
      <alignment horizontal="center" vertical="center"/>
    </xf>
    <xf fontId="2" fillId="3" borderId="3" numFmtId="0" xfId="2" applyFont="1" applyFill="1" applyBorder="1" applyAlignment="1">
      <alignment horizontal="center" vertical="center"/>
    </xf>
    <xf fontId="0" fillId="7" borderId="2" numFmtId="0" xfId="0" applyFill="1" applyBorder="1" applyAlignment="1">
      <alignment horizontal="center" vertical="center"/>
    </xf>
    <xf fontId="3" fillId="4" borderId="2" numFmtId="0" xfId="3" applyFont="1" applyFill="1" applyBorder="1" applyAlignment="1">
      <alignment horizontal="center" vertical="center"/>
    </xf>
    <xf fontId="4" fillId="6" borderId="4" numFmtId="0" xfId="0" applyFont="1" applyFill="1" applyBorder="1" applyAlignment="1">
      <alignment horizontal="center" vertical="center"/>
    </xf>
    <xf fontId="1" fillId="2" borderId="4" numFmtId="0" xfId="1" applyFont="1" applyFill="1" applyBorder="1" applyAlignment="1">
      <alignment horizontal="center" vertical="center"/>
    </xf>
    <xf fontId="2" fillId="3" borderId="5" numFmtId="0" xfId="2" applyFont="1" applyFill="1" applyBorder="1" applyAlignment="1">
      <alignment horizontal="center" vertical="center"/>
    </xf>
    <xf fontId="4" fillId="6" borderId="5" numFmtId="0" xfId="0" applyFont="1" applyFill="1" applyBorder="1" applyAlignment="1">
      <alignment horizontal="center" vertical="center"/>
    </xf>
    <xf fontId="0" fillId="7" borderId="6" numFmtId="0" xfId="0" applyFill="1" applyBorder="1" applyAlignment="1">
      <alignment horizontal="center" vertical="center"/>
    </xf>
    <xf fontId="5" fillId="0" borderId="0" numFmtId="0" xfId="0" applyFont="1"/>
    <xf fontId="4" fillId="8" borderId="1" numFmtId="0" xfId="0" applyFont="1" applyFill="1" applyBorder="1" applyAlignment="1">
      <alignment horizontal="center" vertical="center"/>
    </xf>
    <xf fontId="4" fillId="8" borderId="7" numFmtId="0" xfId="0" applyFont="1" applyFill="1" applyBorder="1" applyAlignment="1">
      <alignment horizontal="center" vertical="center"/>
    </xf>
    <xf fontId="0" fillId="0" borderId="0" numFmtId="0" xfId="0" applyAlignment="1">
      <alignment horizontal="center" vertical="center"/>
    </xf>
    <xf fontId="4" fillId="5" borderId="8" numFmtId="0" xfId="0" applyFont="1" applyFill="1" applyBorder="1" applyAlignment="1">
      <alignment horizontal="center" vertical="center"/>
    </xf>
    <xf fontId="0" fillId="9" borderId="2" numFmtId="0" xfId="0" applyFill="1" applyBorder="1" applyAlignment="1">
      <alignment horizontal="left" vertical="center"/>
    </xf>
    <xf fontId="4" fillId="9" borderId="3" numFmtId="0" xfId="0" applyFont="1" applyFill="1" applyBorder="1" applyAlignment="1">
      <alignment horizontal="center" vertical="center"/>
    </xf>
    <xf fontId="6" fillId="0" borderId="9" numFmtId="0" xfId="1" applyFont="1" applyBorder="1" applyAlignment="1">
      <alignment horizontal="center" vertical="center"/>
    </xf>
    <xf fontId="4" fillId="9" borderId="9" numFmtId="0" xfId="0" applyFont="1" applyFill="1" applyBorder="1" applyAlignment="1">
      <alignment horizontal="center" vertical="center"/>
    </xf>
    <xf fontId="0" fillId="10" borderId="10" numFmtId="0" xfId="0" applyFill="1" applyBorder="1" applyAlignment="1">
      <alignment horizontal="center" vertical="center"/>
    </xf>
    <xf fontId="0" fillId="9" borderId="4" numFmtId="0" xfId="0" applyFill="1" applyBorder="1" applyAlignment="1">
      <alignment horizontal="left" vertical="center"/>
    </xf>
    <xf fontId="4" fillId="9" borderId="11" numFmtId="0" xfId="0" applyFont="1" applyFill="1" applyBorder="1" applyAlignment="1">
      <alignment horizontal="center" vertical="center"/>
    </xf>
    <xf fontId="6" fillId="0" borderId="12" numFmtId="0" xfId="2" applyFont="1" applyBorder="1" applyAlignment="1">
      <alignment horizontal="center" vertical="center"/>
    </xf>
    <xf fontId="4" fillId="9" borderId="12" numFmtId="0" xfId="0" applyFont="1" applyFill="1" applyBorder="1" applyAlignment="1">
      <alignment horizontal="center" vertical="center"/>
    </xf>
    <xf fontId="0" fillId="10" borderId="4" numFmtId="0" xfId="0" applyFill="1" applyBorder="1" applyAlignment="1">
      <alignment horizontal="center" vertical="center"/>
    </xf>
    <xf fontId="0" fillId="9" borderId="4" numFmtId="0" xfId="0" applyFill="1" applyBorder="1" applyAlignment="1">
      <alignment horizontal="left" vertical="center"/>
    </xf>
    <xf fontId="0" fillId="9" borderId="5" numFmtId="0" xfId="0" applyFill="1" applyBorder="1" applyAlignment="1">
      <alignment horizontal="left" vertical="center"/>
    </xf>
    <xf fontId="4" fillId="9" borderId="13" numFmtId="0" xfId="0" applyFont="1" applyFill="1" applyBorder="1" applyAlignment="1">
      <alignment horizontal="center" vertical="center"/>
    </xf>
    <xf fontId="6" fillId="0" borderId="14" numFmtId="0" xfId="2" applyFont="1" applyBorder="1" applyAlignment="1">
      <alignment horizontal="center" vertical="center"/>
    </xf>
    <xf fontId="4" fillId="9" borderId="14" numFmtId="0" xfId="0" applyFont="1" applyFill="1" applyBorder="1" applyAlignment="1">
      <alignment horizontal="center" vertical="center"/>
    </xf>
    <xf fontId="0" fillId="10" borderId="5" numFmtId="0" xfId="0" applyFill="1" applyBorder="1" applyAlignment="1">
      <alignment horizontal="center" vertical="center"/>
    </xf>
    <xf fontId="0" fillId="11" borderId="2" numFmtId="0" xfId="0" applyFill="1" applyBorder="1" applyAlignment="1">
      <alignment horizontal="left" vertical="center"/>
    </xf>
    <xf fontId="4" fillId="11" borderId="3" numFmtId="0" xfId="0" applyFont="1" applyFill="1" applyBorder="1" applyAlignment="1">
      <alignment horizontal="center" vertical="center"/>
    </xf>
    <xf fontId="6" fillId="0" borderId="9" numFmtId="0" xfId="2" applyFont="1" applyBorder="1" applyAlignment="1">
      <alignment horizontal="center" vertical="center"/>
    </xf>
    <xf fontId="4" fillId="11" borderId="9" numFmtId="0" xfId="0" applyFont="1" applyFill="1" applyBorder="1" applyAlignment="1">
      <alignment horizontal="center" vertical="center"/>
    </xf>
    <xf fontId="0" fillId="10" borderId="2" numFmtId="0" xfId="0" applyFill="1" applyBorder="1" applyAlignment="1">
      <alignment horizontal="center" vertical="center"/>
    </xf>
    <xf fontId="0" fillId="11" borderId="4" numFmtId="0" xfId="0" applyFill="1" applyBorder="1" applyAlignment="1">
      <alignment horizontal="left" vertical="center"/>
    </xf>
    <xf fontId="4" fillId="11" borderId="11" numFmtId="0" xfId="0" applyFont="1" applyFill="1" applyBorder="1" applyAlignment="1">
      <alignment horizontal="center" vertical="center"/>
    </xf>
    <xf fontId="4" fillId="11" borderId="12" numFmtId="0" xfId="0" applyFont="1" applyFill="1" applyBorder="1" applyAlignment="1">
      <alignment horizontal="center" vertical="center"/>
    </xf>
    <xf fontId="0" fillId="11" borderId="5" numFmtId="0" xfId="0" applyFill="1" applyBorder="1" applyAlignment="1">
      <alignment horizontal="left" vertical="center"/>
    </xf>
    <xf fontId="4" fillId="11" borderId="13" numFmtId="0" xfId="0" applyFont="1" applyFill="1" applyBorder="1" applyAlignment="1">
      <alignment horizontal="center" vertical="center"/>
    </xf>
    <xf fontId="4" fillId="11" borderId="14" numFmtId="0" xfId="0" applyFont="1" applyFill="1" applyBorder="1" applyAlignment="1">
      <alignment horizontal="center" vertical="center"/>
    </xf>
    <xf fontId="0" fillId="9" borderId="2" numFmtId="0" xfId="0" applyFill="1" applyBorder="1" applyAlignment="1">
      <alignment horizontal="left" vertical="center"/>
    </xf>
    <xf fontId="6" fillId="0" borderId="12" numFmtId="0" xfId="1" applyFont="1" applyBorder="1" applyAlignment="1">
      <alignment horizontal="center" vertical="center"/>
    </xf>
    <xf fontId="0" fillId="9" borderId="12" numFmtId="0" xfId="0" applyFill="1" applyBorder="1" applyAlignment="1">
      <alignment horizontal="left" vertical="center"/>
    </xf>
    <xf fontId="6" fillId="0" borderId="12" numFmtId="0" xfId="3" applyFont="1" applyBorder="1" applyAlignment="1">
      <alignment horizontal="center" vertical="center"/>
    </xf>
    <xf fontId="6" fillId="0" borderId="14" numFmtId="0" xfId="1" applyFont="1" applyBorder="1" applyAlignment="1">
      <alignment horizontal="center" vertical="center"/>
    </xf>
    <xf fontId="6" fillId="0" borderId="9" numFmtId="0" xfId="3" applyFont="1" applyBorder="1" applyAlignment="1">
      <alignment horizontal="center" vertical="center"/>
    </xf>
    <xf fontId="6" fillId="0" borderId="14" numFmtId="0" xfId="3" applyFont="1" applyBorder="1" applyAlignment="1">
      <alignment horizontal="center" vertical="center"/>
    </xf>
    <xf fontId="0" fillId="11" borderId="6" numFmtId="0" xfId="0" applyFill="1" applyBorder="1" applyAlignment="1">
      <alignment horizontal="left" vertical="center"/>
    </xf>
    <xf fontId="4" fillId="11" borderId="15" numFmtId="0" xfId="0" applyFont="1" applyFill="1" applyBorder="1" applyAlignment="1">
      <alignment horizontal="center" vertical="center"/>
    </xf>
    <xf fontId="6" fillId="0" borderId="16" numFmtId="0" xfId="2" applyFont="1" applyBorder="1" applyAlignment="1">
      <alignment horizontal="center" vertical="center"/>
    </xf>
    <xf fontId="4" fillId="11" borderId="16" numFmtId="0" xfId="0" applyFont="1" applyFill="1" applyBorder="1" applyAlignment="1">
      <alignment horizontal="center" vertical="center"/>
    </xf>
    <xf fontId="0" fillId="10" borderId="6" numFmtId="0" xfId="0" applyFill="1" applyBorder="1" applyAlignment="1">
      <alignment horizontal="center" vertical="center"/>
    </xf>
    <xf fontId="0" fillId="9" borderId="10" numFmtId="0" xfId="0" applyFill="1" applyBorder="1" applyAlignment="1">
      <alignment horizontal="left" vertical="center"/>
    </xf>
    <xf fontId="4" fillId="9" borderId="10" numFmtId="0" xfId="0" applyFont="1" applyFill="1" applyBorder="1" applyAlignment="1">
      <alignment horizontal="center" vertical="center"/>
    </xf>
    <xf fontId="0" fillId="9" borderId="10" numFmtId="0" xfId="0" applyFill="1" applyBorder="1" applyAlignment="1">
      <alignment horizontal="left" vertical="center"/>
    </xf>
    <xf fontId="6" fillId="0" borderId="10" numFmtId="0" xfId="1" applyFont="1" applyBorder="1" applyAlignment="1">
      <alignment horizontal="center" vertical="center"/>
    </xf>
    <xf fontId="4" fillId="9" borderId="4" numFmtId="0" xfId="0" applyFont="1" applyFill="1" applyBorder="1" applyAlignment="1">
      <alignment horizontal="center" vertical="center"/>
    </xf>
    <xf fontId="6" fillId="0" borderId="4" numFmtId="0" xfId="1" applyFont="1" applyBorder="1" applyAlignment="1">
      <alignment horizontal="center" vertical="center"/>
    </xf>
    <xf fontId="6" fillId="0" borderId="4" numFmtId="0" xfId="2" applyFont="1" applyBorder="1" applyAlignment="1">
      <alignment horizontal="center" vertical="center"/>
    </xf>
    <xf fontId="6" fillId="0" borderId="4" numFmtId="0" xfId="3" applyFont="1" applyBorder="1" applyAlignment="1">
      <alignment horizontal="center" vertical="center"/>
    </xf>
    <xf fontId="4" fillId="9" borderId="5" numFmtId="0" xfId="0" applyFont="1" applyFill="1" applyBorder="1" applyAlignment="1">
      <alignment horizontal="center" vertical="center"/>
    </xf>
    <xf fontId="0" fillId="9" borderId="5" numFmtId="0" xfId="0" applyFill="1" applyBorder="1" applyAlignment="1">
      <alignment horizontal="left" vertical="center"/>
    </xf>
    <xf fontId="6" fillId="0" borderId="5" numFmtId="0" xfId="1" applyFont="1" applyBorder="1" applyAlignment="1">
      <alignment horizontal="center" vertical="center"/>
    </xf>
    <xf fontId="4" fillId="0" borderId="0" numFmtId="0" xfId="0" applyFont="1" applyAlignment="1">
      <alignment horizontal="center" vertical="center"/>
    </xf>
    <xf fontId="4" fillId="5" borderId="17" numFmtId="0" xfId="0" applyFont="1" applyFill="1" applyBorder="1" applyAlignment="1">
      <alignment horizontal="center" vertical="center"/>
    </xf>
    <xf fontId="4" fillId="5" borderId="18" numFmtId="0" xfId="0" applyFont="1" applyFill="1" applyBorder="1" applyAlignment="1">
      <alignment horizontal="center" vertical="center"/>
    </xf>
    <xf fontId="0" fillId="0" borderId="0" numFmtId="0" xfId="0">
      <protection hidden="0" locked="1"/>
    </xf>
    <xf fontId="0" fillId="9" borderId="19" numFmtId="0" xfId="0" applyFill="1" applyBorder="1" applyAlignment="1">
      <alignment horizontal="left" vertical="center"/>
    </xf>
    <xf fontId="0" fillId="9" borderId="11" numFmtId="0" xfId="0" applyFill="1" applyBorder="1" applyAlignment="1">
      <alignment horizontal="left" vertical="center"/>
    </xf>
    <xf fontId="0" fillId="9" borderId="20" numFmtId="0" xfId="0" applyFill="1" applyBorder="1" applyAlignment="1">
      <alignment horizontal="left" vertical="center"/>
    </xf>
    <xf fontId="0" fillId="11" borderId="10" numFmtId="0" xfId="0" applyFill="1" applyBorder="1" applyAlignment="1">
      <alignment horizontal="left" vertical="center"/>
    </xf>
    <xf fontId="0" fillId="11" borderId="10" numFmtId="0" xfId="0" applyFill="1" applyBorder="1" applyAlignment="1">
      <alignment horizontal="left" vertical="center"/>
    </xf>
    <xf fontId="0" fillId="11" borderId="5" numFmtId="0" xfId="0" applyFill="1" applyBorder="1" applyAlignment="1">
      <alignment horizontal="left" vertical="center"/>
    </xf>
    <xf fontId="4" fillId="8" borderId="6" numFmtId="0" xfId="0" applyFont="1" applyFill="1" applyBorder="1" applyAlignment="1">
      <alignment horizontal="center"/>
    </xf>
    <xf fontId="4" fillId="8" borderId="21" numFmtId="0" xfId="0" applyFont="1" applyFill="1" applyBorder="1" applyAlignment="1">
      <alignment horizontal="center"/>
    </xf>
  </cellXfs>
  <cellStyles count="4">
    <cellStyle name="Normal" xfId="0" builtinId="0"/>
    <cellStyle name="Bad" xfId="1" builtinId="27"/>
    <cellStyle name="Neutral" xfId="2" builtinId="28"/>
    <cellStyle name="Good" xfId="3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skingMansOz" id="{0AC76D2A-7EE8-23CE-800C-894AC228CA69}" userId="AskingMansOz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09-19T09:13:08.03Z" personId="{0AC76D2A-7EE8-23CE-800C-894AC228CA69}" id="{04CB6911-E216-5FFA-A00E-331AF1FB8FD4}" done="1">
    <text xml:space="preserve">Mide la carga de trabajo del equipo con base en el promedio de puntos acumulados por los integrantes:
* Verde: Por debajo del promedio (menor carga).
* Amarillo: En el promedio exacto (carga equilibrada).
* Rojo: Por encima del promedio (sobrecarga de trabajo).
Lo ideal es que la carga de trabajo se mantengan cerca del promedio.
</text>
  </threadedComment>
  <threadedComment ref="D4" dT="2026-09-25T19:25:05.93Z" personId="{0AC76D2A-7EE8-23CE-800C-894AC228CA69}" id="{6A98EA58-EBE2-D560-1FEC-96EE11A8B0CE}" done="1">
    <text xml:space="preserve">21.6 x Persona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38" zoomScale="100" workbookViewId="0">
      <selection activeCell="J12" activeCellId="0" sqref="J12"/>
    </sheetView>
  </sheetViews>
  <sheetFormatPr baseColWidth="10" defaultColWidth="8.88671875" defaultRowHeight="14.25"/>
  <cols>
    <col customWidth="1" min="2" max="2" width="33.28125"/>
    <col customWidth="1" min="3" max="3" width="17.140625"/>
    <col customWidth="1" min="4" max="4" width="54.7109375"/>
    <col customWidth="1" min="5" max="5" style="1" width="12.140625"/>
    <col customWidth="1" min="6" max="6" width="27.00390625"/>
    <col customWidth="1" min="7" max="7" width="18.421875"/>
    <col bestFit="1" customWidth="1" min="8" max="8" width="11.421875"/>
    <col bestFit="1" min="9" max="9" width="11.421875"/>
    <col customWidth="1" min="10" max="10" width="20.28125"/>
    <col customWidth="1" min="11" max="11" width="19.421875"/>
    <col bestFit="1" min="12" max="12" width="18.77734375"/>
    <col customWidth="1" min="13" max="13" width="9.109375"/>
  </cols>
  <sheetData>
    <row r="2" ht="14.25">
      <c r="E2" s="1"/>
    </row>
    <row r="3" ht="17.399999999999999" customHeight="1">
      <c r="B3" s="2" t="s">
        <v>0</v>
      </c>
      <c r="C3" s="2" t="s">
        <v>1</v>
      </c>
      <c r="D3" s="2" t="s">
        <v>2</v>
      </c>
      <c r="F3" s="2" t="s">
        <v>3</v>
      </c>
    </row>
    <row r="4" ht="14.25">
      <c r="B4" s="3" t="s">
        <v>4</v>
      </c>
      <c r="C4" s="4">
        <f t="shared" ref="C4:C8" si="0">SUMIF($F$13:$F$135,B4,$E$13:$E$135)</f>
        <v>21</v>
      </c>
      <c r="D4" s="5">
        <f t="shared" ref="D4:D8" si="1">COUNTIF($E$13:$F$135,B4)</f>
        <v>5</v>
      </c>
      <c r="F4" s="6" t="s">
        <v>5</v>
      </c>
    </row>
    <row r="5">
      <c r="B5" s="7" t="s">
        <v>6</v>
      </c>
      <c r="C5" s="4">
        <f t="shared" si="0"/>
        <v>21</v>
      </c>
      <c r="D5" s="5">
        <f t="shared" si="1"/>
        <v>4</v>
      </c>
      <c r="F5" s="8" t="s">
        <v>7</v>
      </c>
    </row>
    <row r="6" ht="42.75">
      <c r="B6" s="7" t="s">
        <v>8</v>
      </c>
      <c r="C6" s="4">
        <f t="shared" si="0"/>
        <v>20</v>
      </c>
      <c r="D6" s="5">
        <f t="shared" si="1"/>
        <v>5</v>
      </c>
      <c r="F6" s="9" t="s">
        <v>9</v>
      </c>
    </row>
    <row r="7" ht="28.5">
      <c r="B7" s="7" t="s">
        <v>10</v>
      </c>
      <c r="C7" s="4">
        <f t="shared" si="0"/>
        <v>23</v>
      </c>
      <c r="D7" s="5">
        <f t="shared" si="1"/>
        <v>4</v>
      </c>
    </row>
    <row r="8" ht="28.5">
      <c r="B8" s="10" t="s">
        <v>11</v>
      </c>
      <c r="C8" s="4">
        <f t="shared" si="0"/>
        <v>23</v>
      </c>
      <c r="D8" s="11">
        <f t="shared" si="1"/>
        <v>4</v>
      </c>
      <c r="H8" s="12"/>
    </row>
    <row r="9" ht="28.5">
      <c r="B9" s="13" t="s">
        <v>12</v>
      </c>
      <c r="C9" s="14">
        <f>SUM(C4:C8)</f>
        <v>108</v>
      </c>
    </row>
    <row r="10" ht="15"/>
    <row r="11" ht="15.6"/>
    <row r="12" s="15" customFormat="1" ht="17.399999999999999" customHeight="1">
      <c r="B12" s="2" t="s">
        <v>13</v>
      </c>
      <c r="C12" s="2" t="s">
        <v>14</v>
      </c>
      <c r="D12" s="2" t="s">
        <v>15</v>
      </c>
      <c r="E12" s="2" t="s">
        <v>16</v>
      </c>
      <c r="F12" s="16" t="s">
        <v>17</v>
      </c>
      <c r="G12" s="2" t="s">
        <v>18</v>
      </c>
    </row>
    <row r="13" ht="71.25">
      <c r="B13" s="17" t="s">
        <v>19</v>
      </c>
      <c r="C13" s="18" t="s">
        <v>20</v>
      </c>
      <c r="D13" s="17" t="s">
        <v>21</v>
      </c>
      <c r="E13" s="19">
        <v>8</v>
      </c>
      <c r="F13" s="20" t="s">
        <v>6</v>
      </c>
      <c r="G13" s="21" t="s">
        <v>5</v>
      </c>
    </row>
    <row r="14" ht="42.75">
      <c r="B14" s="22" t="s">
        <v>19</v>
      </c>
      <c r="C14" s="23" t="s">
        <v>22</v>
      </c>
      <c r="D14" s="22" t="s">
        <v>23</v>
      </c>
      <c r="E14" s="24">
        <v>5</v>
      </c>
      <c r="F14" s="25" t="s">
        <v>6</v>
      </c>
      <c r="G14" s="26" t="s">
        <v>5</v>
      </c>
    </row>
    <row r="15" ht="71.25">
      <c r="B15" s="22" t="s">
        <v>19</v>
      </c>
      <c r="C15" s="23" t="s">
        <v>24</v>
      </c>
      <c r="D15" s="27" t="s">
        <v>25</v>
      </c>
      <c r="E15" s="24">
        <v>5</v>
      </c>
      <c r="F15" s="25" t="s">
        <v>4</v>
      </c>
      <c r="G15" s="26" t="s">
        <v>5</v>
      </c>
    </row>
    <row r="16" ht="28.5">
      <c r="B16" s="22" t="s">
        <v>19</v>
      </c>
      <c r="C16" s="23" t="s">
        <v>26</v>
      </c>
      <c r="D16" s="22" t="s">
        <v>27</v>
      </c>
      <c r="E16" s="24">
        <v>5</v>
      </c>
      <c r="F16" s="25" t="s">
        <v>6</v>
      </c>
      <c r="G16" s="26" t="s">
        <v>5</v>
      </c>
    </row>
    <row r="17" ht="71.25">
      <c r="B17" s="28" t="s">
        <v>19</v>
      </c>
      <c r="C17" s="29" t="s">
        <v>28</v>
      </c>
      <c r="D17" s="28" t="s">
        <v>29</v>
      </c>
      <c r="E17" s="30">
        <v>8</v>
      </c>
      <c r="F17" s="31" t="s">
        <v>10</v>
      </c>
      <c r="G17" s="32" t="s">
        <v>5</v>
      </c>
    </row>
    <row r="18" ht="42.75">
      <c r="B18" s="33" t="s">
        <v>30</v>
      </c>
      <c r="C18" s="34" t="s">
        <v>31</v>
      </c>
      <c r="D18" s="33" t="s">
        <v>32</v>
      </c>
      <c r="E18" s="35">
        <v>5</v>
      </c>
      <c r="F18" s="36" t="s">
        <v>10</v>
      </c>
      <c r="G18" s="37" t="s">
        <v>5</v>
      </c>
    </row>
    <row r="19" ht="57">
      <c r="B19" s="38" t="s">
        <v>30</v>
      </c>
      <c r="C19" s="39" t="s">
        <v>33</v>
      </c>
      <c r="D19" s="38" t="s">
        <v>34</v>
      </c>
      <c r="E19" s="24">
        <v>5</v>
      </c>
      <c r="F19" s="40" t="s">
        <v>10</v>
      </c>
      <c r="G19" s="26" t="s">
        <v>5</v>
      </c>
    </row>
    <row r="20" ht="42.75">
      <c r="B20" s="38" t="s">
        <v>30</v>
      </c>
      <c r="C20" s="39" t="s">
        <v>35</v>
      </c>
      <c r="D20" s="38" t="s">
        <v>36</v>
      </c>
      <c r="E20" s="24">
        <v>5</v>
      </c>
      <c r="F20" s="40" t="s">
        <v>10</v>
      </c>
      <c r="G20" s="26" t="s">
        <v>5</v>
      </c>
    </row>
    <row r="21" ht="57">
      <c r="B21" s="38" t="s">
        <v>30</v>
      </c>
      <c r="C21" s="39" t="s">
        <v>37</v>
      </c>
      <c r="D21" s="38" t="s">
        <v>38</v>
      </c>
      <c r="E21" s="24">
        <v>5</v>
      </c>
      <c r="F21" s="40" t="s">
        <v>8</v>
      </c>
      <c r="G21" s="26" t="s">
        <v>5</v>
      </c>
    </row>
    <row r="22" ht="42.75">
      <c r="B22" s="38" t="s">
        <v>30</v>
      </c>
      <c r="C22" s="39" t="s">
        <v>39</v>
      </c>
      <c r="D22" s="38" t="s">
        <v>40</v>
      </c>
      <c r="E22" s="24">
        <v>5</v>
      </c>
      <c r="F22" s="40" t="s">
        <v>8</v>
      </c>
      <c r="G22" s="26" t="s">
        <v>5</v>
      </c>
    </row>
    <row r="23" ht="57">
      <c r="B23" s="41" t="s">
        <v>30</v>
      </c>
      <c r="C23" s="42" t="s">
        <v>41</v>
      </c>
      <c r="D23" s="41" t="s">
        <v>42</v>
      </c>
      <c r="E23" s="30">
        <v>5</v>
      </c>
      <c r="F23" s="43" t="s">
        <v>8</v>
      </c>
      <c r="G23" s="32" t="s">
        <v>5</v>
      </c>
    </row>
    <row r="24" ht="57">
      <c r="B24" s="17" t="s">
        <v>43</v>
      </c>
      <c r="C24" s="18" t="s">
        <v>44</v>
      </c>
      <c r="D24" s="44" t="s">
        <v>45</v>
      </c>
      <c r="E24" s="19">
        <v>5</v>
      </c>
      <c r="F24" s="20" t="s">
        <v>11</v>
      </c>
      <c r="G24" s="37" t="s">
        <v>5</v>
      </c>
    </row>
    <row r="25" ht="57">
      <c r="B25" s="22" t="s">
        <v>43</v>
      </c>
      <c r="C25" s="23" t="s">
        <v>46</v>
      </c>
      <c r="D25" s="22" t="s">
        <v>47</v>
      </c>
      <c r="E25" s="45">
        <v>5</v>
      </c>
      <c r="F25" s="25" t="s">
        <v>11</v>
      </c>
      <c r="G25" s="26" t="s">
        <v>5</v>
      </c>
    </row>
    <row r="26" ht="57">
      <c r="B26" s="22" t="s">
        <v>43</v>
      </c>
      <c r="C26" s="23" t="s">
        <v>48</v>
      </c>
      <c r="D26" s="46" t="s">
        <v>49</v>
      </c>
      <c r="E26" s="24">
        <v>5</v>
      </c>
      <c r="F26" s="25" t="s">
        <v>11</v>
      </c>
      <c r="G26" s="26" t="s">
        <v>5</v>
      </c>
    </row>
    <row r="27" ht="57">
      <c r="B27" s="22" t="s">
        <v>43</v>
      </c>
      <c r="C27" s="23" t="s">
        <v>50</v>
      </c>
      <c r="D27" s="22" t="s">
        <v>51</v>
      </c>
      <c r="E27" s="47">
        <v>3</v>
      </c>
      <c r="F27" s="25" t="s">
        <v>4</v>
      </c>
      <c r="G27" s="26" t="s">
        <v>5</v>
      </c>
    </row>
    <row r="28" ht="57">
      <c r="B28" s="28" t="s">
        <v>43</v>
      </c>
      <c r="C28" s="29" t="s">
        <v>52</v>
      </c>
      <c r="D28" s="28" t="s">
        <v>53</v>
      </c>
      <c r="E28" s="48">
        <v>8</v>
      </c>
      <c r="F28" s="31" t="s">
        <v>11</v>
      </c>
      <c r="G28" s="32" t="s">
        <v>5</v>
      </c>
    </row>
    <row r="29" ht="42.75">
      <c r="B29" s="33" t="s">
        <v>54</v>
      </c>
      <c r="C29" s="34" t="s">
        <v>55</v>
      </c>
      <c r="D29" s="33" t="s">
        <v>56</v>
      </c>
      <c r="E29" s="49">
        <v>3</v>
      </c>
      <c r="F29" s="36" t="s">
        <v>8</v>
      </c>
      <c r="G29" s="37" t="s">
        <v>5</v>
      </c>
    </row>
    <row r="30" ht="42.75">
      <c r="B30" s="41" t="s">
        <v>54</v>
      </c>
      <c r="C30" s="42" t="s">
        <v>57</v>
      </c>
      <c r="D30" s="41" t="s">
        <v>58</v>
      </c>
      <c r="E30" s="50">
        <v>3</v>
      </c>
      <c r="F30" s="43" t="s">
        <v>6</v>
      </c>
      <c r="G30" s="32" t="s">
        <v>5</v>
      </c>
    </row>
    <row r="31" ht="57">
      <c r="B31" s="17" t="s">
        <v>59</v>
      </c>
      <c r="C31" s="18" t="s">
        <v>60</v>
      </c>
      <c r="D31" s="17" t="s">
        <v>61</v>
      </c>
      <c r="E31" s="19">
        <v>5</v>
      </c>
      <c r="F31" s="20" t="s">
        <v>4</v>
      </c>
      <c r="G31" s="37" t="s">
        <v>5</v>
      </c>
    </row>
    <row r="32" ht="57">
      <c r="B32" s="22" t="s">
        <v>59</v>
      </c>
      <c r="C32" s="23" t="s">
        <v>62</v>
      </c>
      <c r="D32" s="22" t="s">
        <v>63</v>
      </c>
      <c r="E32" s="45">
        <v>5</v>
      </c>
      <c r="F32" s="25" t="s">
        <v>4</v>
      </c>
      <c r="G32" s="26" t="s">
        <v>5</v>
      </c>
    </row>
    <row r="33" ht="42.75">
      <c r="B33" s="28" t="s">
        <v>59</v>
      </c>
      <c r="C33" s="29" t="s">
        <v>64</v>
      </c>
      <c r="D33" s="28" t="s">
        <v>65</v>
      </c>
      <c r="E33" s="50">
        <v>3</v>
      </c>
      <c r="F33" s="31" t="s">
        <v>4</v>
      </c>
      <c r="G33" s="32" t="s">
        <v>5</v>
      </c>
    </row>
    <row r="34" ht="57">
      <c r="B34" s="51" t="s">
        <v>66</v>
      </c>
      <c r="C34" s="52" t="s">
        <v>67</v>
      </c>
      <c r="D34" s="51" t="s">
        <v>68</v>
      </c>
      <c r="E34" s="53">
        <v>2</v>
      </c>
      <c r="F34" s="54" t="s">
        <v>8</v>
      </c>
      <c r="G34" s="55" t="s">
        <v>5</v>
      </c>
    </row>
    <row r="35" s="15" customFormat="1" ht="57">
      <c r="B35" s="2" t="s">
        <v>13</v>
      </c>
      <c r="C35" s="2" t="s">
        <v>14</v>
      </c>
      <c r="D35" s="2" t="s">
        <v>69</v>
      </c>
      <c r="E35" s="2" t="s">
        <v>16</v>
      </c>
      <c r="F35" s="16" t="s">
        <v>17</v>
      </c>
      <c r="G35" s="2" t="s">
        <v>18</v>
      </c>
    </row>
    <row r="36" ht="57">
      <c r="B36" s="56" t="s">
        <v>70</v>
      </c>
      <c r="C36" s="57" t="s">
        <v>71</v>
      </c>
      <c r="D36" s="58" t="s">
        <v>72</v>
      </c>
      <c r="E36" s="59">
        <v>3</v>
      </c>
      <c r="F36" s="20"/>
      <c r="G36" s="21"/>
    </row>
    <row r="37" ht="57">
      <c r="B37" s="22" t="s">
        <v>70</v>
      </c>
      <c r="C37" s="60" t="s">
        <v>73</v>
      </c>
      <c r="D37" s="27" t="s">
        <v>74</v>
      </c>
      <c r="E37" s="61">
        <v>3</v>
      </c>
      <c r="F37" s="25"/>
      <c r="G37" s="26"/>
    </row>
    <row r="38" ht="57">
      <c r="B38" s="22" t="s">
        <v>70</v>
      </c>
      <c r="C38" s="60" t="s">
        <v>75</v>
      </c>
      <c r="D38" s="27" t="s">
        <v>76</v>
      </c>
      <c r="E38" s="62">
        <v>3</v>
      </c>
      <c r="F38" s="25"/>
      <c r="G38" s="26"/>
    </row>
    <row r="39" ht="57">
      <c r="B39" s="22" t="s">
        <v>70</v>
      </c>
      <c r="C39" s="60" t="s">
        <v>77</v>
      </c>
      <c r="D39" s="27" t="s">
        <v>78</v>
      </c>
      <c r="E39" s="63">
        <v>5</v>
      </c>
      <c r="F39" s="25"/>
      <c r="G39" s="26"/>
    </row>
    <row r="40" ht="57">
      <c r="B40" s="22" t="s">
        <v>70</v>
      </c>
      <c r="C40" s="60" t="s">
        <v>79</v>
      </c>
      <c r="D40" s="27" t="s">
        <v>80</v>
      </c>
      <c r="E40" s="61">
        <v>5</v>
      </c>
      <c r="F40" s="25"/>
      <c r="G40" s="26"/>
    </row>
    <row r="41" ht="57">
      <c r="B41" s="22" t="s">
        <v>70</v>
      </c>
      <c r="C41" s="60" t="s">
        <v>81</v>
      </c>
      <c r="D41" s="27" t="s">
        <v>82</v>
      </c>
      <c r="E41" s="62">
        <v>5</v>
      </c>
      <c r="F41" s="25"/>
      <c r="G41" s="26"/>
    </row>
    <row r="42" ht="57">
      <c r="B42" s="22" t="s">
        <v>70</v>
      </c>
      <c r="C42" s="60" t="s">
        <v>83</v>
      </c>
      <c r="D42" s="27" t="s">
        <v>84</v>
      </c>
      <c r="E42" s="61">
        <v>5</v>
      </c>
      <c r="F42" s="25"/>
      <c r="G42" s="26"/>
    </row>
    <row r="43" ht="57">
      <c r="B43" s="22" t="s">
        <v>70</v>
      </c>
      <c r="C43" s="60" t="s">
        <v>85</v>
      </c>
      <c r="D43" s="27" t="s">
        <v>86</v>
      </c>
      <c r="E43" s="62">
        <v>5</v>
      </c>
      <c r="F43" s="25"/>
      <c r="G43" s="26"/>
    </row>
    <row r="44" ht="57">
      <c r="B44" s="22" t="s">
        <v>70</v>
      </c>
      <c r="C44" s="60" t="s">
        <v>87</v>
      </c>
      <c r="D44" s="27" t="s">
        <v>88</v>
      </c>
      <c r="E44" s="61">
        <v>5</v>
      </c>
      <c r="F44" s="25"/>
      <c r="G44" s="26"/>
    </row>
    <row r="45" ht="57">
      <c r="B45" s="22" t="s">
        <v>70</v>
      </c>
      <c r="C45" s="60" t="s">
        <v>89</v>
      </c>
      <c r="D45" s="27" t="s">
        <v>90</v>
      </c>
      <c r="E45" s="62">
        <v>5</v>
      </c>
      <c r="F45" s="25"/>
      <c r="G45" s="26"/>
    </row>
    <row r="46" ht="57">
      <c r="B46" s="22" t="s">
        <v>70</v>
      </c>
      <c r="C46" s="60" t="s">
        <v>91</v>
      </c>
      <c r="D46" s="27" t="s">
        <v>92</v>
      </c>
      <c r="E46" s="63">
        <v>5</v>
      </c>
      <c r="F46" s="25"/>
      <c r="G46" s="26"/>
    </row>
    <row r="47" ht="57">
      <c r="B47" s="22" t="s">
        <v>70</v>
      </c>
      <c r="C47" s="60" t="s">
        <v>93</v>
      </c>
      <c r="D47" s="27" t="s">
        <v>94</v>
      </c>
      <c r="E47" s="61">
        <v>5</v>
      </c>
      <c r="F47" s="25"/>
      <c r="G47" s="26"/>
    </row>
    <row r="48" ht="57">
      <c r="B48" s="22" t="s">
        <v>70</v>
      </c>
      <c r="C48" s="60" t="s">
        <v>95</v>
      </c>
      <c r="D48" s="27" t="s">
        <v>96</v>
      </c>
      <c r="E48" s="62">
        <v>5</v>
      </c>
      <c r="F48" s="25"/>
      <c r="G48" s="26"/>
    </row>
    <row r="49" ht="57">
      <c r="B49" s="22" t="s">
        <v>70</v>
      </c>
      <c r="C49" s="60" t="s">
        <v>97</v>
      </c>
      <c r="D49" s="27" t="s">
        <v>98</v>
      </c>
      <c r="E49" s="61">
        <v>5</v>
      </c>
      <c r="F49" s="25"/>
      <c r="G49" s="26"/>
    </row>
    <row r="50" ht="57">
      <c r="B50" s="22" t="s">
        <v>70</v>
      </c>
      <c r="C50" s="60" t="s">
        <v>99</v>
      </c>
      <c r="D50" s="27" t="s">
        <v>100</v>
      </c>
      <c r="E50" s="61">
        <v>5</v>
      </c>
      <c r="F50" s="25"/>
      <c r="G50" s="26"/>
    </row>
    <row r="51" ht="57">
      <c r="B51" s="22" t="s">
        <v>70</v>
      </c>
      <c r="C51" s="60" t="s">
        <v>101</v>
      </c>
      <c r="D51" s="27" t="s">
        <v>102</v>
      </c>
      <c r="E51" s="62">
        <v>5</v>
      </c>
      <c r="F51" s="25"/>
      <c r="G51" s="26"/>
    </row>
    <row r="52" ht="57">
      <c r="B52" s="22" t="s">
        <v>70</v>
      </c>
      <c r="C52" s="60" t="s">
        <v>103</v>
      </c>
      <c r="D52" s="27" t="s">
        <v>104</v>
      </c>
      <c r="E52" s="63">
        <v>5</v>
      </c>
      <c r="F52" s="25"/>
      <c r="G52" s="26"/>
    </row>
    <row r="53" ht="57">
      <c r="B53" s="22" t="s">
        <v>70</v>
      </c>
      <c r="C53" s="60" t="s">
        <v>105</v>
      </c>
      <c r="D53" s="27" t="s">
        <v>106</v>
      </c>
      <c r="E53" s="61">
        <v>3</v>
      </c>
      <c r="F53" s="25"/>
      <c r="G53" s="26"/>
    </row>
    <row r="54" ht="57">
      <c r="B54" s="22" t="s">
        <v>70</v>
      </c>
      <c r="C54" s="60" t="s">
        <v>107</v>
      </c>
      <c r="D54" s="27" t="s">
        <v>108</v>
      </c>
      <c r="E54" s="62">
        <v>3</v>
      </c>
      <c r="F54" s="25"/>
      <c r="G54" s="26"/>
    </row>
    <row r="55" ht="57">
      <c r="B55" s="22" t="s">
        <v>70</v>
      </c>
      <c r="C55" s="60" t="s">
        <v>109</v>
      </c>
      <c r="D55" s="27" t="s">
        <v>110</v>
      </c>
      <c r="E55" s="61">
        <v>5</v>
      </c>
      <c r="F55" s="25"/>
      <c r="G55" s="26"/>
    </row>
    <row r="56" ht="57">
      <c r="B56" s="22" t="s">
        <v>70</v>
      </c>
      <c r="C56" s="60" t="s">
        <v>111</v>
      </c>
      <c r="D56" s="27" t="s">
        <v>112</v>
      </c>
      <c r="E56" s="63">
        <v>5</v>
      </c>
      <c r="F56" s="25"/>
      <c r="G56" s="26"/>
    </row>
    <row r="57" ht="57">
      <c r="B57" s="22" t="s">
        <v>70</v>
      </c>
      <c r="C57" s="60" t="s">
        <v>113</v>
      </c>
      <c r="D57" s="27" t="s">
        <v>114</v>
      </c>
      <c r="E57" s="61">
        <v>3</v>
      </c>
      <c r="F57" s="25"/>
      <c r="G57" s="26"/>
    </row>
    <row r="58" ht="57">
      <c r="B58" s="22" t="s">
        <v>70</v>
      </c>
      <c r="C58" s="60" t="s">
        <v>115</v>
      </c>
      <c r="D58" s="27" t="s">
        <v>116</v>
      </c>
      <c r="E58" s="62">
        <v>2</v>
      </c>
      <c r="F58" s="25"/>
      <c r="G58" s="26"/>
    </row>
    <row r="59" ht="57">
      <c r="B59" s="28" t="s">
        <v>70</v>
      </c>
      <c r="C59" s="64" t="s">
        <v>117</v>
      </c>
      <c r="D59" s="65" t="s">
        <v>118</v>
      </c>
      <c r="E59" s="66">
        <v>3</v>
      </c>
      <c r="F59" s="31"/>
      <c r="G59" s="32"/>
    </row>
    <row r="60" s="67" customFormat="1" ht="57">
      <c r="B60" s="68" t="s">
        <v>13</v>
      </c>
      <c r="C60" s="68" t="s">
        <v>14</v>
      </c>
      <c r="D60" s="68" t="s">
        <v>119</v>
      </c>
      <c r="E60" s="69" t="s">
        <v>16</v>
      </c>
      <c r="F60" s="68" t="s">
        <v>17</v>
      </c>
      <c r="G60" s="69" t="s">
        <v>18</v>
      </c>
    </row>
    <row r="61" s="67" customFormat="1" ht="57">
      <c r="A61" s="70"/>
      <c r="B61" s="56" t="s">
        <v>120</v>
      </c>
      <c r="C61" s="57" t="s">
        <v>121</v>
      </c>
      <c r="D61" s="71" t="s">
        <v>122</v>
      </c>
      <c r="E61" s="59">
        <v>3</v>
      </c>
      <c r="F61" s="57"/>
      <c r="G61" s="21"/>
    </row>
    <row r="62" s="67" customFormat="1" ht="57">
      <c r="A62" s="70"/>
      <c r="B62" s="22" t="s">
        <v>120</v>
      </c>
      <c r="C62" s="60" t="s">
        <v>123</v>
      </c>
      <c r="D62" s="72" t="s">
        <v>124</v>
      </c>
      <c r="E62" s="61">
        <v>3</v>
      </c>
      <c r="F62" s="60"/>
      <c r="G62" s="26"/>
    </row>
    <row r="63" s="67" customFormat="1" ht="57">
      <c r="A63" s="70"/>
      <c r="B63" s="22" t="s">
        <v>120</v>
      </c>
      <c r="C63" s="60" t="s">
        <v>125</v>
      </c>
      <c r="D63" s="72" t="s">
        <v>126</v>
      </c>
      <c r="E63" s="61">
        <v>3</v>
      </c>
      <c r="F63" s="60"/>
      <c r="G63" s="26"/>
    </row>
    <row r="64" s="67" customFormat="1" ht="57">
      <c r="A64" s="70"/>
      <c r="B64" s="22" t="s">
        <v>120</v>
      </c>
      <c r="C64" s="60" t="s">
        <v>127</v>
      </c>
      <c r="D64" s="72" t="s">
        <v>128</v>
      </c>
      <c r="E64" s="61">
        <v>3</v>
      </c>
      <c r="F64" s="60"/>
      <c r="G64" s="26"/>
    </row>
    <row r="65" s="67" customFormat="1" ht="57">
      <c r="A65" s="70"/>
      <c r="B65" s="22" t="s">
        <v>120</v>
      </c>
      <c r="C65" s="60" t="s">
        <v>129</v>
      </c>
      <c r="D65" s="72" t="s">
        <v>130</v>
      </c>
      <c r="E65" s="61">
        <v>3</v>
      </c>
      <c r="F65" s="60"/>
      <c r="G65" s="26"/>
    </row>
    <row r="66" s="67" customFormat="1" ht="57">
      <c r="A66" s="70"/>
      <c r="B66" s="22" t="s">
        <v>120</v>
      </c>
      <c r="C66" s="60" t="s">
        <v>131</v>
      </c>
      <c r="D66" s="72" t="s">
        <v>132</v>
      </c>
      <c r="E66" s="61">
        <v>3</v>
      </c>
      <c r="F66" s="60"/>
      <c r="G66" s="26"/>
    </row>
    <row r="67" s="67" customFormat="1" ht="57">
      <c r="A67" s="70"/>
      <c r="B67" s="28" t="s">
        <v>120</v>
      </c>
      <c r="C67" s="64" t="s">
        <v>133</v>
      </c>
      <c r="D67" s="73" t="s">
        <v>134</v>
      </c>
      <c r="E67" s="66">
        <v>3</v>
      </c>
      <c r="F67" s="64"/>
      <c r="G67" s="32"/>
    </row>
    <row r="68" s="67" customFormat="1" ht="57">
      <c r="A68" s="70"/>
      <c r="B68" s="74" t="s">
        <v>135</v>
      </c>
      <c r="C68" s="34" t="s">
        <v>136</v>
      </c>
      <c r="D68" s="75" t="s">
        <v>137</v>
      </c>
      <c r="E68" s="59">
        <v>5</v>
      </c>
      <c r="F68" s="34"/>
      <c r="G68" s="21"/>
    </row>
    <row r="69" s="67" customFormat="1" ht="57">
      <c r="A69" s="70"/>
      <c r="B69" s="41" t="s">
        <v>135</v>
      </c>
      <c r="C69" s="42" t="s">
        <v>138</v>
      </c>
      <c r="D69" s="76" t="s">
        <v>139</v>
      </c>
      <c r="E69" s="66">
        <v>5</v>
      </c>
      <c r="F69" s="42"/>
      <c r="G69" s="32"/>
    </row>
    <row r="70" ht="14.25">
      <c r="D70" s="77" t="s">
        <v>12</v>
      </c>
      <c r="E70" s="78">
        <f>SUM(E13:E34,E36:E59,E61:E69)</f>
        <v>242</v>
      </c>
    </row>
  </sheetData>
  <sheetProtection autoFilter="1" deleteColumns="1" deleteRows="1" formatCells="1" formatColumns="1" formatRows="1" insertColumns="1" insertHyperlinks="1" insertRows="1" pivotTables="1" selectLockedCells="0" selectUnlockedCells="0" sheet="0" sort="1"/>
  <conditionalFormatting sqref="G13:G34">
    <cfRule type="containsText" priority="2" text="En Desarrollo">
      <formula>NOT(ISERROR(SEARCH("En Desarrollo",G13)))</formula>
    </cfRule>
  </conditionalFormatting>
  <conditionalFormatting sqref="G36:G39">
    <cfRule type="containsText" priority="13" text="En Desarrollo">
      <formula>NOT(ISERROR(SEARCH("En Desarrollo",G13)))</formula>
    </cfRule>
  </conditionalFormatting>
  <conditionalFormatting sqref="G40:G42">
    <cfRule type="containsText" priority="14" text="En Desarrollo">
      <formula>NOT(ISERROR(SEARCH("En Desarrollo",G13)))</formula>
    </cfRule>
  </conditionalFormatting>
  <conditionalFormatting sqref="G43:G45">
    <cfRule type="containsText" priority="15" text="En Desarrollo">
      <formula>NOT(ISERROR(SEARCH("En Desarrollo",G13)))</formula>
    </cfRule>
  </conditionalFormatting>
  <conditionalFormatting sqref="G46:G48">
    <cfRule type="containsText" priority="16" text="En Desarrollo">
      <formula>NOT(ISERROR(SEARCH("En Desarrollo",G13)))</formula>
    </cfRule>
  </conditionalFormatting>
  <conditionalFormatting sqref="G49:G51">
    <cfRule type="containsText" priority="17" text="En Desarrollo">
      <formula>NOT(ISERROR(SEARCH("En Desarrollo",G13)))</formula>
    </cfRule>
  </conditionalFormatting>
  <conditionalFormatting sqref="G52:G54">
    <cfRule type="containsText" priority="18" text="En Desarrollo">
      <formula>NOT(ISERROR(SEARCH("En Desarrollo",G13)))</formula>
    </cfRule>
  </conditionalFormatting>
  <conditionalFormatting sqref="G55:G57">
    <cfRule type="containsText" priority="19" text="En Desarrollo">
      <formula>NOT(ISERROR(SEARCH("En Desarrollo",G13)))</formula>
    </cfRule>
  </conditionalFormatting>
  <conditionalFormatting sqref="G58:G59">
    <cfRule type="containsText" priority="20" text="En Desarrollo">
      <formula>NOT(ISERROR(SEARCH("En Desarrollo",G13)))</formula>
    </cfRule>
  </conditionalFormatting>
  <conditionalFormatting sqref="G61:G69">
    <cfRule type="containsText" priority="21" text="En Desarrollo">
      <formula>NOT(ISERROR(SEARCH("En Desarrollo",G13)))</formula>
    </cfRule>
  </conditionalFormatting>
  <dataValidations count="1" disablePrompts="0">
    <dataValidation sqref="B4:B8" type="none" allowBlank="1" errorStyle="stop" imeMode="noControl" operator="between" promptTitle="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equal" id="{7E21A8D1-4233-42EE-A5DF-FAD1CE5DEE89}">
            <xm:f>3</xm:f>
            <x14:dxf>
              <font>
                <color rgb="FF006100"/>
              </font>
            </x14:dxf>
          </x14:cfRule>
          <xm:sqref>E13:E34</xm:sqref>
        </x14:conditionalFormatting>
        <x14:conditionalFormatting xmlns:xm="http://schemas.microsoft.com/office/excel/2006/main">
          <x14:cfRule type="cellIs" priority="11" operator="lessThanOrEqual" id="{FE517BA7-2A8B-49BA-A909-4E76569A73DA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cellIs" priority="10" operator="notBetween" id="{7BAC9785-03FC-4822-AEFF-69458A015822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cellIs" priority="9" operator="between" id="{91B6724D-75EE-42CA-B330-3ABA75EC12C5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cellIs" priority="8" operator="greaterThanOrEqual" id="{8A951659-27A9-43E3-9D0E-F25529B17597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E13:E34</xm:sqref>
        </x14:conditionalFormatting>
        <x14:conditionalFormatting xmlns:xm="http://schemas.microsoft.com/office/excel/2006/main">
          <x14:cfRule type="aboveAverage" priority="7" stdDev="0" id="{25ABD6C5-5FF9-484D-9C49-4AE287E998A7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aboveAverage" priority="6" aboveAverage="0" stdDev="0" id="{D75F4D26-7F91-4CB6-99C8-1C70795AAA9A}"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C4:C8</xm:sqref>
        </x14:conditionalFormatting>
        <x14:conditionalFormatting xmlns:xm="http://schemas.microsoft.com/office/excel/2006/main">
          <x14:cfRule type="cellIs" priority="5" operator="lessThan" id="{DAEDCE5B-6564-4A27-AC2F-70A51C158E67}">
            <xm:f>5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E34</xm:sqref>
        </x14:conditionalFormatting>
        <x14:conditionalFormatting xmlns:xm="http://schemas.microsoft.com/office/excel/2006/main">
          <x14:cfRule type="cellIs" priority="22" operator="equal" id="{A6E8FE57-AED4-45F9-A105-8704D552C3A9}">
            <xm:f>3</xm:f>
            <x14:dxf>
              <font>
                <color rgb="FF006100"/>
              </font>
            </x14:dxf>
          </x14:cfRule>
          <xm:sqref>E36:E39</xm:sqref>
        </x14:conditionalFormatting>
        <x14:conditionalFormatting xmlns:xm="http://schemas.microsoft.com/office/excel/2006/main">
          <x14:cfRule type="cellIs" priority="23" operator="lessThanOrEqual" id="{1ECF257F-C399-4D5D-BF04-9FC639EAEF65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E36:E39</xm:sqref>
        </x14:conditionalFormatting>
        <x14:conditionalFormatting xmlns:xm="http://schemas.microsoft.com/office/excel/2006/main">
          <x14:cfRule type="cellIs" priority="24" operator="notBetween" id="{AD80A781-D6EE-4F7A-9E17-E7173C08C7D6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E36:E39</xm:sqref>
        </x14:conditionalFormatting>
        <x14:conditionalFormatting xmlns:xm="http://schemas.microsoft.com/office/excel/2006/main">
          <x14:cfRule type="cellIs" priority="25" operator="between" id="{0C0D6CD7-98E3-4312-AFA7-088E8980DDA4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E36:E39</xm:sqref>
        </x14:conditionalFormatting>
        <x14:conditionalFormatting xmlns:xm="http://schemas.microsoft.com/office/excel/2006/main">
          <x14:cfRule type="cellIs" priority="26" operator="greaterThanOrEqual" id="{46DF6C61-984B-4BAA-8D63-59AB84B6512F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E36:E39</xm:sqref>
        </x14:conditionalFormatting>
        <x14:conditionalFormatting xmlns:xm="http://schemas.microsoft.com/office/excel/2006/main">
          <x14:cfRule type="cellIs" priority="27" operator="equal" id="{E218CEEC-D5EE-49D4-A7E0-9624805941F1}">
            <xm:f>3</xm:f>
            <x14:dxf>
              <font>
                <color rgb="FF006100"/>
              </font>
            </x14:dxf>
          </x14:cfRule>
          <xm:sqref>E40:E41</xm:sqref>
        </x14:conditionalFormatting>
        <x14:conditionalFormatting xmlns:xm="http://schemas.microsoft.com/office/excel/2006/main">
          <x14:cfRule type="cellIs" priority="28" operator="lessThanOrEqual" id="{950B2D12-CA72-40FF-83F4-10B5861DD817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E40:E41</xm:sqref>
        </x14:conditionalFormatting>
        <x14:conditionalFormatting xmlns:xm="http://schemas.microsoft.com/office/excel/2006/main">
          <x14:cfRule type="cellIs" priority="29" operator="notBetween" id="{A9DB20AD-C93E-4DAB-B2BF-DBDD98313DC2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E40:E41</xm:sqref>
        </x14:conditionalFormatting>
        <x14:conditionalFormatting xmlns:xm="http://schemas.microsoft.com/office/excel/2006/main">
          <x14:cfRule type="cellIs" priority="30" operator="between" id="{5130AE10-D9FC-4AD8-98B7-AF04EAA8FF9C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E40:E41</xm:sqref>
        </x14:conditionalFormatting>
        <x14:conditionalFormatting xmlns:xm="http://schemas.microsoft.com/office/excel/2006/main">
          <x14:cfRule type="cellIs" priority="31" operator="greaterThanOrEqual" id="{F185C72F-D42A-4837-B2DB-EE67F7E7E835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E40:E41</xm:sqref>
        </x14:conditionalFormatting>
        <x14:conditionalFormatting xmlns:xm="http://schemas.microsoft.com/office/excel/2006/main">
          <x14:cfRule type="cellIs" priority="32" operator="equal" id="{C8B9BAD3-34F3-4B05-9E53-1F9211BC3D92}">
            <xm:f>3</xm:f>
            <x14:dxf>
              <font>
                <color rgb="FF006100"/>
              </font>
            </x14:dxf>
          </x14:cfRule>
          <xm:sqref>E42:E43</xm:sqref>
        </x14:conditionalFormatting>
        <x14:conditionalFormatting xmlns:xm="http://schemas.microsoft.com/office/excel/2006/main">
          <x14:cfRule type="cellIs" priority="33" operator="lessThanOrEqual" id="{85B28714-A67E-44FC-AB91-080B69ADB187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E42:E43</xm:sqref>
        </x14:conditionalFormatting>
        <x14:conditionalFormatting xmlns:xm="http://schemas.microsoft.com/office/excel/2006/main">
          <x14:cfRule type="cellIs" priority="34" operator="notBetween" id="{A5657FC9-8568-492F-88E7-436941794B9B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E42:E43</xm:sqref>
        </x14:conditionalFormatting>
        <x14:conditionalFormatting xmlns:xm="http://schemas.microsoft.com/office/excel/2006/main">
          <x14:cfRule type="cellIs" priority="35" operator="between" id="{48C63E37-2392-47CA-A8AB-A13E89865D5B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E42:E43</xm:sqref>
        </x14:conditionalFormatting>
        <x14:conditionalFormatting xmlns:xm="http://schemas.microsoft.com/office/excel/2006/main">
          <x14:cfRule type="cellIs" priority="36" operator="greaterThanOrEqual" id="{25798A48-EB9B-4CE2-BF2E-4D17323626BF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E42:E43</xm:sqref>
        </x14:conditionalFormatting>
        <x14:conditionalFormatting xmlns:xm="http://schemas.microsoft.com/office/excel/2006/main">
          <x14:cfRule type="cellIs" priority="37" operator="equal" id="{DC897235-86CC-4549-8720-6BFCAFF2FDAF}">
            <xm:f>3</xm:f>
            <x14:dxf>
              <font>
                <color rgb="FF006100"/>
              </font>
            </x14:dxf>
          </x14:cfRule>
          <xm:sqref>E44:E46</xm:sqref>
        </x14:conditionalFormatting>
        <x14:conditionalFormatting xmlns:xm="http://schemas.microsoft.com/office/excel/2006/main">
          <x14:cfRule type="cellIs" priority="38" operator="lessThanOrEqual" id="{EC4F63FD-BCF8-4A7B-97A2-97E6E08993E3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E44:E46</xm:sqref>
        </x14:conditionalFormatting>
        <x14:conditionalFormatting xmlns:xm="http://schemas.microsoft.com/office/excel/2006/main">
          <x14:cfRule type="cellIs" priority="39" operator="notBetween" id="{F84334BC-DC53-4F23-AAD4-15AB96F5FC5C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E44:E46</xm:sqref>
        </x14:conditionalFormatting>
        <x14:conditionalFormatting xmlns:xm="http://schemas.microsoft.com/office/excel/2006/main">
          <x14:cfRule type="cellIs" priority="40" operator="between" id="{12222348-BEE9-40CC-A591-1555647D40D2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E44:E46</xm:sqref>
        </x14:conditionalFormatting>
        <x14:conditionalFormatting xmlns:xm="http://schemas.microsoft.com/office/excel/2006/main">
          <x14:cfRule type="cellIs" priority="41" operator="greaterThanOrEqual" id="{9FE79E67-497F-4F89-A1BD-963279640C5F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E44:E46</xm:sqref>
        </x14:conditionalFormatting>
        <x14:conditionalFormatting xmlns:xm="http://schemas.microsoft.com/office/excel/2006/main">
          <x14:cfRule type="cellIs" priority="42" operator="equal" id="{337D494A-49AD-4492-9EB1-088A8858E6F5}">
            <xm:f>3</xm:f>
            <x14:dxf>
              <font>
                <color rgb="FF006100"/>
              </font>
            </x14:dxf>
          </x14:cfRule>
          <xm:sqref>E47:E48</xm:sqref>
        </x14:conditionalFormatting>
        <x14:conditionalFormatting xmlns:xm="http://schemas.microsoft.com/office/excel/2006/main">
          <x14:cfRule type="cellIs" priority="43" operator="lessThanOrEqual" id="{985D9E96-19AD-4EA5-ABCA-D9013B98D68A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E47:E48</xm:sqref>
        </x14:conditionalFormatting>
        <x14:conditionalFormatting xmlns:xm="http://schemas.microsoft.com/office/excel/2006/main">
          <x14:cfRule type="cellIs" priority="44" operator="notBetween" id="{9F149856-F0EF-47E0-951F-D43B3F4D4DC7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E47:E48</xm:sqref>
        </x14:conditionalFormatting>
        <x14:conditionalFormatting xmlns:xm="http://schemas.microsoft.com/office/excel/2006/main">
          <x14:cfRule type="cellIs" priority="45" operator="between" id="{D6180286-76F6-4746-87AD-6F55FFB439FD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E47:E48</xm:sqref>
        </x14:conditionalFormatting>
        <x14:conditionalFormatting xmlns:xm="http://schemas.microsoft.com/office/excel/2006/main">
          <x14:cfRule type="cellIs" priority="46" operator="greaterThanOrEqual" id="{E7BAFEFB-8356-4D3E-A736-B63AF8B1AF2B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E47:E48</xm:sqref>
        </x14:conditionalFormatting>
        <x14:conditionalFormatting xmlns:xm="http://schemas.microsoft.com/office/excel/2006/main">
          <x14:cfRule type="cellIs" priority="47" operator="equal" id="{60BC18CE-B70B-4F93-94EA-3B98ADCF1128}">
            <xm:f>3</xm:f>
            <x14:dxf>
              <font>
                <color rgb="FF006100"/>
              </font>
            </x14:dxf>
          </x14:cfRule>
          <xm:sqref>E49</xm:sqref>
        </x14:conditionalFormatting>
        <x14:conditionalFormatting xmlns:xm="http://schemas.microsoft.com/office/excel/2006/main">
          <x14:cfRule type="cellIs" priority="48" operator="lessThanOrEqual" id="{4BFF66E3-7E30-415B-8913-A9A8838B7BD0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E49</xm:sqref>
        </x14:conditionalFormatting>
        <x14:conditionalFormatting xmlns:xm="http://schemas.microsoft.com/office/excel/2006/main">
          <x14:cfRule type="cellIs" priority="49" operator="notBetween" id="{96342C7A-D299-4203-A969-1ED41182BB58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E49</xm:sqref>
        </x14:conditionalFormatting>
        <x14:conditionalFormatting xmlns:xm="http://schemas.microsoft.com/office/excel/2006/main">
          <x14:cfRule type="cellIs" priority="50" operator="between" id="{827A52A5-C4F0-4854-AFBD-F5FDEB6BB91D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E49</xm:sqref>
        </x14:conditionalFormatting>
        <x14:conditionalFormatting xmlns:xm="http://schemas.microsoft.com/office/excel/2006/main">
          <x14:cfRule type="cellIs" priority="51" operator="greaterThanOrEqual" id="{953B567B-E1EC-4942-AD27-863BDD141286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E49</xm:sqref>
        </x14:conditionalFormatting>
        <x14:conditionalFormatting xmlns:xm="http://schemas.microsoft.com/office/excel/2006/main">
          <x14:cfRule type="cellIs" priority="52" operator="equal" id="{1FA5A7F7-2232-4EE6-A8EE-7D586A9DC555}">
            <xm:f>3</xm:f>
            <x14:dxf>
              <font>
                <color rgb="FF006100"/>
              </font>
            </x14:dxf>
          </x14:cfRule>
          <xm:sqref>E50:E52</xm:sqref>
        </x14:conditionalFormatting>
        <x14:conditionalFormatting xmlns:xm="http://schemas.microsoft.com/office/excel/2006/main">
          <x14:cfRule type="cellIs" priority="53" operator="lessThanOrEqual" id="{8B71249B-2898-4BF5-BAE9-53E6B8EE8923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E50:E52</xm:sqref>
        </x14:conditionalFormatting>
        <x14:conditionalFormatting xmlns:xm="http://schemas.microsoft.com/office/excel/2006/main">
          <x14:cfRule type="cellIs" priority="54" operator="notBetween" id="{16E8D38C-C831-4496-931F-0F48F2370331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E50:E52</xm:sqref>
        </x14:conditionalFormatting>
        <x14:conditionalFormatting xmlns:xm="http://schemas.microsoft.com/office/excel/2006/main">
          <x14:cfRule type="cellIs" priority="55" operator="between" id="{982DBF48-0C5F-422D-B02C-05936D105AEE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E50:E52</xm:sqref>
        </x14:conditionalFormatting>
        <x14:conditionalFormatting xmlns:xm="http://schemas.microsoft.com/office/excel/2006/main">
          <x14:cfRule type="cellIs" priority="56" operator="greaterThanOrEqual" id="{4FDA9EDC-E5BA-40A0-AC43-2C009D4E3C90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E50:E52</xm:sqref>
        </x14:conditionalFormatting>
        <x14:conditionalFormatting xmlns:xm="http://schemas.microsoft.com/office/excel/2006/main">
          <x14:cfRule type="cellIs" priority="57" operator="equal" id="{4EB9FBA7-12B3-4197-835F-0A244708E625}">
            <xm:f>3</xm:f>
            <x14:dxf>
              <font>
                <color rgb="FF006100"/>
              </font>
            </x14:dxf>
          </x14:cfRule>
          <xm:sqref>E53:E54</xm:sqref>
        </x14:conditionalFormatting>
        <x14:conditionalFormatting xmlns:xm="http://schemas.microsoft.com/office/excel/2006/main">
          <x14:cfRule type="cellIs" priority="58" operator="lessThanOrEqual" id="{E48C2899-F5E1-4C1F-AA46-661521D8F44F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E53:E54</xm:sqref>
        </x14:conditionalFormatting>
        <x14:conditionalFormatting xmlns:xm="http://schemas.microsoft.com/office/excel/2006/main">
          <x14:cfRule type="cellIs" priority="59" operator="notBetween" id="{F78DC1E6-7ABA-4CA2-9176-65EC0F9AF59B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E53:E54</xm:sqref>
        </x14:conditionalFormatting>
        <x14:conditionalFormatting xmlns:xm="http://schemas.microsoft.com/office/excel/2006/main">
          <x14:cfRule type="cellIs" priority="60" operator="between" id="{73893DF2-F883-40E1-93A0-7534A4515E89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E53:E54</xm:sqref>
        </x14:conditionalFormatting>
        <x14:conditionalFormatting xmlns:xm="http://schemas.microsoft.com/office/excel/2006/main">
          <x14:cfRule type="cellIs" priority="61" operator="greaterThanOrEqual" id="{31DD1EDA-6559-4982-9E86-EF5D2479371C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E53:E54</xm:sqref>
        </x14:conditionalFormatting>
        <x14:conditionalFormatting xmlns:xm="http://schemas.microsoft.com/office/excel/2006/main">
          <x14:cfRule type="cellIs" priority="62" operator="equal" id="{5C456A00-7193-4021-8CF8-FC73F0038748}">
            <xm:f>3</xm:f>
            <x14:dxf>
              <font>
                <color rgb="FF006100"/>
              </font>
            </x14:dxf>
          </x14:cfRule>
          <xm:sqref>E55</xm:sqref>
        </x14:conditionalFormatting>
        <x14:conditionalFormatting xmlns:xm="http://schemas.microsoft.com/office/excel/2006/main">
          <x14:cfRule type="cellIs" priority="63" operator="lessThanOrEqual" id="{07336C8A-B56C-4A92-A8A1-084AC9D101AD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E55</xm:sqref>
        </x14:conditionalFormatting>
        <x14:conditionalFormatting xmlns:xm="http://schemas.microsoft.com/office/excel/2006/main">
          <x14:cfRule type="cellIs" priority="64" operator="notBetween" id="{A66E47B6-8066-4342-9CF0-3A83FD0770D5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E55</xm:sqref>
        </x14:conditionalFormatting>
        <x14:conditionalFormatting xmlns:xm="http://schemas.microsoft.com/office/excel/2006/main">
          <x14:cfRule type="cellIs" priority="65" operator="between" id="{EF4AA12E-8BBE-4079-8867-796DB009D152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E55</xm:sqref>
        </x14:conditionalFormatting>
        <x14:conditionalFormatting xmlns:xm="http://schemas.microsoft.com/office/excel/2006/main">
          <x14:cfRule type="cellIs" priority="66" operator="greaterThanOrEqual" id="{6400EA18-21E5-4151-A753-85C1D5DCACCB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E55</xm:sqref>
        </x14:conditionalFormatting>
        <x14:conditionalFormatting xmlns:xm="http://schemas.microsoft.com/office/excel/2006/main">
          <x14:cfRule type="cellIs" priority="67" operator="equal" id="{E80F17E7-306C-4E0F-8A93-F8B07404A5E9}">
            <xm:f>3</xm:f>
            <x14:dxf>
              <font>
                <color rgb="FF006100"/>
              </font>
            </x14:dxf>
          </x14:cfRule>
          <xm:sqref>E56</xm:sqref>
        </x14:conditionalFormatting>
        <x14:conditionalFormatting xmlns:xm="http://schemas.microsoft.com/office/excel/2006/main">
          <x14:cfRule type="cellIs" priority="68" operator="lessThanOrEqual" id="{6DBF1B98-937E-4418-B0ED-398B4B044384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E56</xm:sqref>
        </x14:conditionalFormatting>
        <x14:conditionalFormatting xmlns:xm="http://schemas.microsoft.com/office/excel/2006/main">
          <x14:cfRule type="cellIs" priority="69" operator="notBetween" id="{8089F7CA-D968-4F77-AF05-810248EF2EFC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E56</xm:sqref>
        </x14:conditionalFormatting>
        <x14:conditionalFormatting xmlns:xm="http://schemas.microsoft.com/office/excel/2006/main">
          <x14:cfRule type="cellIs" priority="70" operator="between" id="{DAEA66A7-584D-41AF-9470-819118F34D0E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E56</xm:sqref>
        </x14:conditionalFormatting>
        <x14:conditionalFormatting xmlns:xm="http://schemas.microsoft.com/office/excel/2006/main">
          <x14:cfRule type="cellIs" priority="71" operator="greaterThanOrEqual" id="{4C815E30-2934-4849-9AFC-EE93385E68ED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E56</xm:sqref>
        </x14:conditionalFormatting>
        <x14:conditionalFormatting xmlns:xm="http://schemas.microsoft.com/office/excel/2006/main">
          <x14:cfRule type="cellIs" priority="72" operator="equal" id="{1E007458-30D0-4FBA-8022-577DC1246203}">
            <xm:f>3</xm:f>
            <x14:dxf>
              <font>
                <color rgb="FF006100"/>
              </font>
            </x14:dxf>
          </x14:cfRule>
          <xm:sqref>E57:E58</xm:sqref>
        </x14:conditionalFormatting>
        <x14:conditionalFormatting xmlns:xm="http://schemas.microsoft.com/office/excel/2006/main">
          <x14:cfRule type="cellIs" priority="73" operator="lessThanOrEqual" id="{962C396F-B826-40AF-B81F-D30A162E35BC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74" operator="notBetween" id="{AFDDC927-09E3-46B4-8A3F-226D48E045F8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75" operator="between" id="{26164A4D-1A3B-4D3F-B4F8-9D20C30B6155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76" operator="greaterThanOrEqual" id="{E6601F6B-815A-4DB1-8BF1-7A95355F8F76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77" operator="equal" id="{0CA5E311-9A76-4A2D-94F2-075136F6E4A6}">
            <xm:f>3</xm:f>
            <x14:dxf>
              <font>
                <color rgb="FF006100"/>
              </font>
            </x14:dxf>
          </x14:cfRule>
          <xm:sqref>E59</xm:sqref>
        </x14:conditionalFormatting>
        <x14:conditionalFormatting xmlns:xm="http://schemas.microsoft.com/office/excel/2006/main">
          <x14:cfRule type="cellIs" priority="78" operator="lessThanOrEqual" id="{96EAF195-E632-41CE-94EF-D75508FEBA4F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E59</xm:sqref>
        </x14:conditionalFormatting>
        <x14:conditionalFormatting xmlns:xm="http://schemas.microsoft.com/office/excel/2006/main">
          <x14:cfRule type="cellIs" priority="79" operator="notBetween" id="{0E35AF53-1661-49BD-B850-A5F22F7D0491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E59</xm:sqref>
        </x14:conditionalFormatting>
        <x14:conditionalFormatting xmlns:xm="http://schemas.microsoft.com/office/excel/2006/main">
          <x14:cfRule type="cellIs" priority="80" operator="between" id="{67C3C9EA-A713-4FD3-BD17-402D528A197F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E59</xm:sqref>
        </x14:conditionalFormatting>
        <x14:conditionalFormatting xmlns:xm="http://schemas.microsoft.com/office/excel/2006/main">
          <x14:cfRule type="cellIs" priority="81" operator="greaterThanOrEqual" id="{9F5A0A82-92C2-43F7-9903-CCB88612F7E8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E59</xm:sqref>
        </x14:conditionalFormatting>
        <x14:conditionalFormatting xmlns:xm="http://schemas.microsoft.com/office/excel/2006/main">
          <x14:cfRule type="containsText" priority="4" text="Entregado" id="{C040B42A-D759-447E-A515-18513431E93A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G13:G34</xm:sqref>
        </x14:conditionalFormatting>
        <x14:conditionalFormatting xmlns:xm="http://schemas.microsoft.com/office/excel/2006/main">
          <x14:cfRule type="containsText" priority="3" text="No Entregado" id="{58AC9AD0-F09F-4B5A-833C-1B1D1CE80B60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G13:G34</xm:sqref>
        </x14:conditionalFormatting>
        <x14:conditionalFormatting xmlns:xm="http://schemas.microsoft.com/office/excel/2006/main">
          <x14:cfRule type="containsText" priority="1" text="En Desarrollo" id="{8CD95E94-9937-4797-87F0-50DD37F6095C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G13:G34</xm:sqref>
        </x14:conditionalFormatting>
        <x14:conditionalFormatting xmlns:xm="http://schemas.microsoft.com/office/excel/2006/main">
          <x14:cfRule type="containsText" priority="82" text="Entregado" id="{67DC19FF-D526-4914-84AE-83BF6E7BC1DB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G36:G39</xm:sqref>
        </x14:conditionalFormatting>
        <x14:conditionalFormatting xmlns:xm="http://schemas.microsoft.com/office/excel/2006/main">
          <x14:cfRule type="containsText" priority="83" text="No Entregado" id="{CE37F5C8-AC93-4CC9-800F-1A842510B76B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G36:G39</xm:sqref>
        </x14:conditionalFormatting>
        <x14:conditionalFormatting xmlns:xm="http://schemas.microsoft.com/office/excel/2006/main">
          <x14:cfRule type="containsText" priority="84" text="En Desarrollo" id="{56FCC69D-E718-41AB-9E46-45D3E73A48E8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G36:G39</xm:sqref>
        </x14:conditionalFormatting>
        <x14:conditionalFormatting xmlns:xm="http://schemas.microsoft.com/office/excel/2006/main">
          <x14:cfRule type="containsText" priority="85" text="Entregado" id="{9A28AB3D-7287-49DE-B1F4-C93C33F3E33F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G40:G42</xm:sqref>
        </x14:conditionalFormatting>
        <x14:conditionalFormatting xmlns:xm="http://schemas.microsoft.com/office/excel/2006/main">
          <x14:cfRule type="containsText" priority="86" text="No Entregado" id="{53E377BD-428A-487B-8821-9C5D1B84BC46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G40:G42</xm:sqref>
        </x14:conditionalFormatting>
        <x14:conditionalFormatting xmlns:xm="http://schemas.microsoft.com/office/excel/2006/main">
          <x14:cfRule type="containsText" priority="87" text="En Desarrollo" id="{44EE2C73-163A-4681-9689-BC63B4FAEDC1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G40:G42</xm:sqref>
        </x14:conditionalFormatting>
        <x14:conditionalFormatting xmlns:xm="http://schemas.microsoft.com/office/excel/2006/main">
          <x14:cfRule type="containsText" priority="88" text="Entregado" id="{095B6997-CD2F-440E-AABF-85C590CD888E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G43:G45</xm:sqref>
        </x14:conditionalFormatting>
        <x14:conditionalFormatting xmlns:xm="http://schemas.microsoft.com/office/excel/2006/main">
          <x14:cfRule type="containsText" priority="89" text="No Entregado" id="{2A3D1DDD-6BB7-4C7D-B710-3FD37704ADE1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G43:G45</xm:sqref>
        </x14:conditionalFormatting>
        <x14:conditionalFormatting xmlns:xm="http://schemas.microsoft.com/office/excel/2006/main">
          <x14:cfRule type="containsText" priority="90" text="En Desarrollo" id="{869393F2-E0AF-436D-B64F-C7BED6DF413D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G43:G45</xm:sqref>
        </x14:conditionalFormatting>
        <x14:conditionalFormatting xmlns:xm="http://schemas.microsoft.com/office/excel/2006/main">
          <x14:cfRule type="containsText" priority="91" text="Entregado" id="{64CEC4DF-F0AA-4D97-8F78-14C67F5BD9B9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G46:G48</xm:sqref>
        </x14:conditionalFormatting>
        <x14:conditionalFormatting xmlns:xm="http://schemas.microsoft.com/office/excel/2006/main">
          <x14:cfRule type="containsText" priority="92" text="No Entregado" id="{3BA9353B-7869-49D6-BE66-D0D6ABC5EB86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G46:G48</xm:sqref>
        </x14:conditionalFormatting>
        <x14:conditionalFormatting xmlns:xm="http://schemas.microsoft.com/office/excel/2006/main">
          <x14:cfRule type="containsText" priority="93" text="En Desarrollo" id="{3942900B-8FEE-4983-9B4E-91C8021E4ECE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G46:G48</xm:sqref>
        </x14:conditionalFormatting>
        <x14:conditionalFormatting xmlns:xm="http://schemas.microsoft.com/office/excel/2006/main">
          <x14:cfRule type="containsText" priority="94" text="Entregado" id="{B64B3D7E-1148-4DCB-9E02-101F9ED49C42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G49:G51</xm:sqref>
        </x14:conditionalFormatting>
        <x14:conditionalFormatting xmlns:xm="http://schemas.microsoft.com/office/excel/2006/main">
          <x14:cfRule type="containsText" priority="95" text="No Entregado" id="{EA9A40A3-8C73-4683-9882-9F8E22F1BD9B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G49:G51</xm:sqref>
        </x14:conditionalFormatting>
        <x14:conditionalFormatting xmlns:xm="http://schemas.microsoft.com/office/excel/2006/main">
          <x14:cfRule type="containsText" priority="96" text="En Desarrollo" id="{FBFF8F1F-D7CB-4616-9474-6EF93475A031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G49:G51</xm:sqref>
        </x14:conditionalFormatting>
        <x14:conditionalFormatting xmlns:xm="http://schemas.microsoft.com/office/excel/2006/main">
          <x14:cfRule type="containsText" priority="97" text="Entregado" id="{DAF1FD18-42B8-4546-AAEA-382B7CDDBC77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G52:G54</xm:sqref>
        </x14:conditionalFormatting>
        <x14:conditionalFormatting xmlns:xm="http://schemas.microsoft.com/office/excel/2006/main">
          <x14:cfRule type="containsText" priority="98" text="No Entregado" id="{140E5DD6-989E-4A41-8774-A108F63A91E5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G52:G54</xm:sqref>
        </x14:conditionalFormatting>
        <x14:conditionalFormatting xmlns:xm="http://schemas.microsoft.com/office/excel/2006/main">
          <x14:cfRule type="containsText" priority="99" text="En Desarrollo" id="{8216BFA2-4981-4AAB-A752-A9C3256456FB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G52:G54</xm:sqref>
        </x14:conditionalFormatting>
        <x14:conditionalFormatting xmlns:xm="http://schemas.microsoft.com/office/excel/2006/main">
          <x14:cfRule type="containsText" priority="100" text="Entregado" id="{9AF1D934-FEB4-454C-8300-2052C50ADF70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G55:G57</xm:sqref>
        </x14:conditionalFormatting>
        <x14:conditionalFormatting xmlns:xm="http://schemas.microsoft.com/office/excel/2006/main">
          <x14:cfRule type="containsText" priority="101" text="No Entregado" id="{36E6F605-3FCE-43A0-90E5-7554AA93EE31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G55:G57</xm:sqref>
        </x14:conditionalFormatting>
        <x14:conditionalFormatting xmlns:xm="http://schemas.microsoft.com/office/excel/2006/main">
          <x14:cfRule type="containsText" priority="102" text="En Desarrollo" id="{268B07B2-0286-48B5-96CD-B817480C6F5D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G55:G57</xm:sqref>
        </x14:conditionalFormatting>
        <x14:conditionalFormatting xmlns:xm="http://schemas.microsoft.com/office/excel/2006/main">
          <x14:cfRule type="containsText" priority="103" text="Entregado" id="{1C4C45AD-CDD7-4C52-A671-41B37CA73137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G58:G59</xm:sqref>
        </x14:conditionalFormatting>
        <x14:conditionalFormatting xmlns:xm="http://schemas.microsoft.com/office/excel/2006/main">
          <x14:cfRule type="containsText" priority="104" text="No Entregado" id="{A7A4F19B-9707-425E-A6D8-8A1BE82FD904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G58:G59</xm:sqref>
        </x14:conditionalFormatting>
        <x14:conditionalFormatting xmlns:xm="http://schemas.microsoft.com/office/excel/2006/main">
          <x14:cfRule type="containsText" priority="105" text="En Desarrollo" id="{54BA8557-A234-4EF7-874C-2EC2A901B676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G58:G59</xm:sqref>
        </x14:conditionalFormatting>
        <x14:conditionalFormatting xmlns:xm="http://schemas.microsoft.com/office/excel/2006/main">
          <x14:cfRule type="cellIs" priority="106" operator="equal" id="{05AEB4B4-0FBB-4346-A13B-F5BBFFFA24C8}">
            <xm:f>3</xm:f>
            <x14:dxf>
              <font>
                <color rgb="FF006100"/>
              </font>
            </x14:dxf>
          </x14:cfRule>
          <xm:sqref>E61:E69</xm:sqref>
        </x14:conditionalFormatting>
        <x14:conditionalFormatting xmlns:xm="http://schemas.microsoft.com/office/excel/2006/main">
          <x14:cfRule type="cellIs" priority="107" operator="lessThanOrEqual" id="{B8AA18FF-616B-4C8A-A2ED-855227E5FDDB}">
            <xm:f>3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E61:E69</xm:sqref>
        </x14:conditionalFormatting>
        <x14:conditionalFormatting xmlns:xm="http://schemas.microsoft.com/office/excel/2006/main">
          <x14:cfRule type="cellIs" priority="108" operator="notBetween" id="{42E4B005-02E3-4A68-AEC9-DAEBCA31BBE8}">
            <xm:f>3</xm:f>
            <xm:f>8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E61:E69</xm:sqref>
        </x14:conditionalFormatting>
        <x14:conditionalFormatting xmlns:xm="http://schemas.microsoft.com/office/excel/2006/main">
          <x14:cfRule type="cellIs" priority="109" operator="between" id="{4BFB7CBA-8DD3-4612-B5E9-CE6F520A334A}">
            <xm:f>4</xm:f>
            <xm:f>7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E61:E69</xm:sqref>
        </x14:conditionalFormatting>
        <x14:conditionalFormatting xmlns:xm="http://schemas.microsoft.com/office/excel/2006/main">
          <x14:cfRule type="cellIs" priority="110" operator="greaterThanOrEqual" id="{7C148D47-3F97-41DD-896D-A1B9C0DE8E55}">
            <xm:f>8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E61:E69</xm:sqref>
        </x14:conditionalFormatting>
        <x14:conditionalFormatting xmlns:xm="http://schemas.microsoft.com/office/excel/2006/main">
          <x14:cfRule type="containsText" priority="111" text="Entregado" id="{A39065B9-8A75-4B16-AD5B-6F0786037521}">
            <xm:f>NOT(ISERROR(SEARCH("Entregado",G13)))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G61:G69</xm:sqref>
        </x14:conditionalFormatting>
        <x14:conditionalFormatting xmlns:xm="http://schemas.microsoft.com/office/excel/2006/main">
          <x14:cfRule type="containsText" priority="112" text="No Entregado" id="{6EDBC02F-F735-4742-A930-67A444C73C1F}">
            <xm:f>NOT(ISERROR(SEARCH("No Entregado",G13)))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G61:G69</xm:sqref>
        </x14:conditionalFormatting>
        <x14:conditionalFormatting xmlns:xm="http://schemas.microsoft.com/office/excel/2006/main">
          <x14:cfRule type="containsText" priority="113" text="En Desarrollo" id="{BBFC9594-AD77-4AD8-9430-DF444CD02EF7}">
            <xm:f>NOT(ISERROR(SEARCH("En Desarrollo",G13)))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G61:G69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0" disablePrompts="0">
        <x14:dataValidation xr:uid="{48B851AC-5A2C-4D34-87B3-0330F52B812E}" type="list" allowBlank="1" errorStyle="stop" imeMode="noControl" operator="between" showDropDown="0" showErrorMessage="1" showInputMessage="1">
          <x14:formula1>
            <xm:f>$B$4:$B$8</xm:f>
          </x14:formula1>
          <xm:sqref>F13:F34</xm:sqref>
        </x14:dataValidation>
        <x14:dataValidation xr:uid="{2F284D9E-8633-4D6B-9E4F-04F4A6BDCC1E}" type="list" allowBlank="1" errorStyle="stop" imeMode="noControl" operator="between" showDropDown="0" showErrorMessage="1" showInputMessage="1">
          <x14:formula1>
            <xm:f>$F$4:$F$6</xm:f>
          </x14:formula1>
          <xm:sqref>G13:G34</xm:sqref>
        </x14:dataValidation>
        <x14:dataValidation xr:uid="{A7C7734B-E4A7-4BF2-BE1F-6F49C877725C}" type="list" allowBlank="1" errorStyle="stop" imeMode="noControl" operator="between" showDropDown="0" showErrorMessage="1" showInputMessage="1">
          <x14:formula1>
            <xm:f>$F$4:$F$6</xm:f>
          </x14:formula1>
          <xm:sqref>G36:G39</xm:sqref>
        </x14:dataValidation>
        <x14:dataValidation xr:uid="{4B6AAD6F-256C-4618-A117-662F7CFB8B39}" type="list" allowBlank="1" errorStyle="stop" imeMode="noControl" operator="between" showDropDown="0" showErrorMessage="1" showInputMessage="1">
          <x14:formula1>
            <xm:f>$F$4:$F$6</xm:f>
          </x14:formula1>
          <xm:sqref>G40:G42</xm:sqref>
        </x14:dataValidation>
        <x14:dataValidation xr:uid="{44E14E6A-696E-48DA-9C59-67CF87F53AEF}" type="list" allowBlank="1" errorStyle="stop" imeMode="noControl" operator="between" showDropDown="0" showErrorMessage="1" showInputMessage="1">
          <x14:formula1>
            <xm:f>$F$4:$F$6</xm:f>
          </x14:formula1>
          <xm:sqref>G43:G45</xm:sqref>
        </x14:dataValidation>
        <x14:dataValidation xr:uid="{3C74AEF3-B59A-4135-995D-084BEC34195D}" type="list" allowBlank="1" errorStyle="stop" imeMode="noControl" operator="between" showDropDown="0" showErrorMessage="1" showInputMessage="1">
          <x14:formula1>
            <xm:f>$F$4:$F$6</xm:f>
          </x14:formula1>
          <xm:sqref>G46:G48</xm:sqref>
        </x14:dataValidation>
        <x14:dataValidation xr:uid="{C391DC4D-E774-468A-ADF3-F2D8B3B588F5}" type="list" allowBlank="1" errorStyle="stop" imeMode="noControl" operator="between" showDropDown="0" showErrorMessage="1" showInputMessage="1">
          <x14:formula1>
            <xm:f>$F$4:$F$6</xm:f>
          </x14:formula1>
          <xm:sqref>G49:G51</xm:sqref>
        </x14:dataValidation>
        <x14:dataValidation xr:uid="{D11C97F8-53A4-44D4-AEA7-C2681177136F}" type="list" allowBlank="1" errorStyle="stop" imeMode="noControl" operator="between" showDropDown="0" showErrorMessage="1" showInputMessage="1">
          <x14:formula1>
            <xm:f>$F$4:$F$6</xm:f>
          </x14:formula1>
          <xm:sqref>G52:G54</xm:sqref>
        </x14:dataValidation>
        <x14:dataValidation xr:uid="{F9714950-9865-496F-8DBA-32BB1388234B}" type="list" allowBlank="1" errorStyle="stop" imeMode="noControl" operator="between" showDropDown="0" showErrorMessage="1" showInputMessage="1">
          <x14:formula1>
            <xm:f>$F$4:$F$6</xm:f>
          </x14:formula1>
          <xm:sqref>G55:G57</xm:sqref>
        </x14:dataValidation>
        <x14:dataValidation xr:uid="{720B718A-AFF6-454B-ABFE-7D64B3BDB71E}" type="list" allowBlank="1" errorStyle="stop" imeMode="noControl" operator="between" showDropDown="0" showErrorMessage="1" showInputMessage="1">
          <x14:formula1>
            <xm:f>$F$4:$F$6</xm:f>
          </x14:formula1>
          <xm:sqref>G58:G59</xm:sqref>
        </x14:dataValidation>
        <x14:dataValidation xr:uid="{ACA4F691-526E-459B-86FA-4FD18171EDFB}" type="list" allowBlank="1" errorStyle="stop" imeMode="noControl" operator="between" showDropDown="0" showErrorMessage="1" showInputMessage="1">
          <x14:formula1>
            <xm:f>$B$4:$B$8</xm:f>
          </x14:formula1>
          <xm:sqref>F36:F39</xm:sqref>
        </x14:dataValidation>
        <x14:dataValidation xr:uid="{46145344-2806-4A6D-B270-867D748D7974}" type="list" allowBlank="1" errorStyle="stop" imeMode="noControl" operator="between" showDropDown="0" showErrorMessage="1" showInputMessage="1">
          <x14:formula1>
            <xm:f>$B$4:$B$8</xm:f>
          </x14:formula1>
          <xm:sqref>F40:F42</xm:sqref>
        </x14:dataValidation>
        <x14:dataValidation xr:uid="{DB4ADE88-2AE6-460C-A27B-DA14964C0927}" type="list" allowBlank="1" errorStyle="stop" imeMode="noControl" operator="between" showDropDown="0" showErrorMessage="1" showInputMessage="1">
          <x14:formula1>
            <xm:f>$B$4:$B$8</xm:f>
          </x14:formula1>
          <xm:sqref>F43:F45</xm:sqref>
        </x14:dataValidation>
        <x14:dataValidation xr:uid="{54917AFF-7903-4197-A4BD-691856D8D967}" type="list" allowBlank="1" errorStyle="stop" imeMode="noControl" operator="between" showDropDown="0" showErrorMessage="1" showInputMessage="1">
          <x14:formula1>
            <xm:f>$B$4:$B$8</xm:f>
          </x14:formula1>
          <xm:sqref>F46:F48</xm:sqref>
        </x14:dataValidation>
        <x14:dataValidation xr:uid="{31780CE1-4766-4DE7-B587-07D9016D2AE6}" type="list" allowBlank="1" errorStyle="stop" imeMode="noControl" operator="between" showDropDown="0" showErrorMessage="1" showInputMessage="1">
          <x14:formula1>
            <xm:f>$B$4:$B$8</xm:f>
          </x14:formula1>
          <xm:sqref>F49:F51</xm:sqref>
        </x14:dataValidation>
        <x14:dataValidation xr:uid="{353F2E4A-F77D-4B0E-8DC1-DDCCF3E82BD8}" type="list" allowBlank="1" errorStyle="stop" imeMode="noControl" operator="between" showDropDown="0" showErrorMessage="1" showInputMessage="1">
          <x14:formula1>
            <xm:f>$B$4:$B$8</xm:f>
          </x14:formula1>
          <xm:sqref>F52:F54</xm:sqref>
        </x14:dataValidation>
        <x14:dataValidation xr:uid="{F7BDAF66-D709-4898-A8D9-EB8DE143C31C}" type="list" allowBlank="1" errorStyle="stop" imeMode="noControl" operator="between" showDropDown="0" showErrorMessage="1" showInputMessage="1">
          <x14:formula1>
            <xm:f>$B$4:$B$8</xm:f>
          </x14:formula1>
          <xm:sqref>F55:F57</xm:sqref>
        </x14:dataValidation>
        <x14:dataValidation xr:uid="{7586BF43-5059-4F26-82BA-6F32FBC52809}" type="list" allowBlank="1" errorStyle="stop" imeMode="noControl" operator="between" showDropDown="0" showErrorMessage="1" showInputMessage="1">
          <x14:formula1>
            <xm:f>$B$4:$B$8</xm:f>
          </x14:formula1>
          <xm:sqref>F58:F59</xm:sqref>
        </x14:dataValidation>
        <x14:dataValidation xr:uid="{9352F272-F241-4AB0-B318-015F5AB1D963}" type="list" allowBlank="1" errorStyle="stop" imeMode="noControl" operator="between" showDropDown="0" showErrorMessage="1" showInputMessage="1">
          <x14:formula1>
            <xm:f>$F$4:$F$6</xm:f>
          </x14:formula1>
          <xm:sqref>G61 G62 G63 G64 G65 G66 G67 G68 G69</xm:sqref>
        </x14:dataValidation>
        <x14:dataValidation xr:uid="{A1A5AD1D-804B-4540-9779-E7F257365B90}" type="list" allowBlank="1" errorStyle="stop" imeMode="noControl" operator="between" showDropDown="0" showErrorMessage="1" showInputMessage="1">
          <x14:formula1>
            <xm:f>$B$4:$B$8</xm:f>
          </x14:formula1>
          <xm:sqref>F61 F62 F63 F64 F65 F66 F67 F68 F69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AskingMansOz</dc:creator>
  <cp:revision>18</cp:revision>
  <dcterms:created xsi:type="dcterms:W3CDTF">2015-06-05T18:19:34Z</dcterms:created>
  <dcterms:modified xsi:type="dcterms:W3CDTF">2026-10-25T00:00:27Z</dcterms:modified>
</cp:coreProperties>
</file>